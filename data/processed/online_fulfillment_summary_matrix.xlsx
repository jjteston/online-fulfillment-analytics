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esto\Desktop\Portfolio\For employment\Ad-Hoc Supply Chain\"/>
    </mc:Choice>
  </mc:AlternateContent>
  <xr:revisionPtr revIDLastSave="0" documentId="13_ncr:1_{EC71FF1B-7089-4459-B28C-4C66E970E8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ecutive_Summary" sheetId="5" r:id="rId1"/>
    <sheet name="KPI_Summary" sheetId="1" state="hidden" r:id="rId2"/>
    <sheet name="Category_Performance" sheetId="2" state="hidden" r:id="rId3"/>
    <sheet name="Geographic_Delays" sheetId="3" state="hidden" r:id="rId4"/>
    <sheet name="Quantity_Impact" sheetId="4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" i="5" l="1"/>
  <c r="I7" i="5"/>
  <c r="C10" i="5"/>
  <c r="C7" i="5"/>
  <c r="J32" i="5"/>
  <c r="J33" i="5"/>
  <c r="J34" i="5"/>
  <c r="J35" i="5"/>
  <c r="J31" i="5"/>
  <c r="N32" i="5"/>
  <c r="N33" i="5"/>
  <c r="N34" i="5"/>
  <c r="N35" i="5"/>
  <c r="N31" i="5"/>
  <c r="E32" i="5"/>
  <c r="E33" i="5"/>
  <c r="E34" i="5"/>
  <c r="E35" i="5"/>
  <c r="E31" i="5"/>
  <c r="B32" i="5"/>
  <c r="B33" i="5"/>
  <c r="B34" i="5"/>
  <c r="B35" i="5"/>
  <c r="B31" i="5"/>
  <c r="H3" i="3"/>
  <c r="H4" i="3"/>
  <c r="H5" i="3"/>
  <c r="H6" i="3"/>
  <c r="H2" i="3"/>
  <c r="G3" i="3" a="1"/>
  <c r="G3" i="3" s="1"/>
  <c r="G4" i="3" a="1"/>
  <c r="G4" i="3" s="1"/>
  <c r="G5" i="3" a="1"/>
  <c r="G5" i="3" s="1"/>
  <c r="G6" i="3" a="1"/>
  <c r="G6" i="3" s="1"/>
  <c r="G2" i="3" a="1"/>
  <c r="G2" i="3" s="1"/>
  <c r="F3" i="3" a="1"/>
  <c r="F3" i="3" s="1"/>
  <c r="F4" i="3" a="1"/>
  <c r="F4" i="3" s="1"/>
  <c r="F5" i="3" a="1"/>
  <c r="F5" i="3" s="1"/>
  <c r="F6" i="3" a="1"/>
  <c r="F6" i="3" s="1"/>
  <c r="F2" i="3" a="1"/>
  <c r="F2" i="3" s="1"/>
  <c r="E3" i="3" a="1"/>
  <c r="E3" i="3" s="1"/>
  <c r="E4" i="3" a="1"/>
  <c r="E4" i="3" s="1"/>
  <c r="E5" i="3" a="1"/>
  <c r="E5" i="3" s="1"/>
  <c r="E6" i="3" a="1"/>
  <c r="E6" i="3" s="1"/>
  <c r="E2" i="3" a="1"/>
  <c r="E2" i="3" s="1"/>
  <c r="D5" i="1"/>
  <c r="D4" i="1"/>
  <c r="C4" i="1"/>
  <c r="C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<sst xmlns="http://schemas.openxmlformats.org/spreadsheetml/2006/main" count="805" uniqueCount="424">
  <si>
    <t>KPI Metric</t>
  </si>
  <si>
    <t>Value</t>
  </si>
  <si>
    <t>Overall Avg Delivery Lead Time</t>
  </si>
  <si>
    <t>Total Quantity</t>
  </si>
  <si>
    <t>Slowest Category</t>
  </si>
  <si>
    <t>TV and Video, 4.89</t>
  </si>
  <si>
    <t>Slowest Destination</t>
  </si>
  <si>
    <t>United Kingdom, Isle of Wight, 13.00</t>
  </si>
  <si>
    <t>product_category</t>
  </si>
  <si>
    <t>average_delivery_lead_time</t>
  </si>
  <si>
    <t>TV and Video</t>
  </si>
  <si>
    <t>Home Appliances</t>
  </si>
  <si>
    <t>Music, Movies and Audio Books</t>
  </si>
  <si>
    <t>Cameras and camcorders</t>
  </si>
  <si>
    <t>Audio</t>
  </si>
  <si>
    <t>Games and Toys</t>
  </si>
  <si>
    <t>Computers</t>
  </si>
  <si>
    <t>Cell phones</t>
  </si>
  <si>
    <t>customer_country</t>
  </si>
  <si>
    <t>customer_state</t>
  </si>
  <si>
    <t>United Kingdom</t>
  </si>
  <si>
    <t>Isle of Wight</t>
  </si>
  <si>
    <t>East Dorset</t>
  </si>
  <si>
    <t>Reigate and Banstead</t>
  </si>
  <si>
    <t>Selby</t>
  </si>
  <si>
    <t>France</t>
  </si>
  <si>
    <t>Auvergne</t>
  </si>
  <si>
    <t>Plymouth</t>
  </si>
  <si>
    <t>Italy</t>
  </si>
  <si>
    <t>Padova</t>
  </si>
  <si>
    <t>Modena</t>
  </si>
  <si>
    <t>Ripon</t>
  </si>
  <si>
    <t>Bridgend</t>
  </si>
  <si>
    <t>Sheffield</t>
  </si>
  <si>
    <t>South Holland</t>
  </si>
  <si>
    <t>Preston</t>
  </si>
  <si>
    <t>Mendip</t>
  </si>
  <si>
    <t>East Devon</t>
  </si>
  <si>
    <t>Livorno</t>
  </si>
  <si>
    <t>Peterborough</t>
  </si>
  <si>
    <t>Como</t>
  </si>
  <si>
    <t>Swale</t>
  </si>
  <si>
    <t>Scottish Borders</t>
  </si>
  <si>
    <t>Netherlands</t>
  </si>
  <si>
    <t>Drenthe</t>
  </si>
  <si>
    <t>Tamworth</t>
  </si>
  <si>
    <t>Sevenoaks</t>
  </si>
  <si>
    <t>Imperia</t>
  </si>
  <si>
    <t>Dacorum</t>
  </si>
  <si>
    <t>East Ayrshire</t>
  </si>
  <si>
    <t>Arun</t>
  </si>
  <si>
    <t>Denbighshire</t>
  </si>
  <si>
    <t>Suffolk Coastal</t>
  </si>
  <si>
    <t>Ancona</t>
  </si>
  <si>
    <t>Bolzano</t>
  </si>
  <si>
    <t>South Oxfordshire</t>
  </si>
  <si>
    <t>Teignbridge</t>
  </si>
  <si>
    <t>Moray</t>
  </si>
  <si>
    <t>Braintree</t>
  </si>
  <si>
    <t>Macerata</t>
  </si>
  <si>
    <t>West Lindsey</t>
  </si>
  <si>
    <t>Lorraine</t>
  </si>
  <si>
    <t>Suffolk</t>
  </si>
  <si>
    <t>East Lothian</t>
  </si>
  <si>
    <t>Caserta</t>
  </si>
  <si>
    <t>Carmarthenshire</t>
  </si>
  <si>
    <t>Canada</t>
  </si>
  <si>
    <t>Manitoba</t>
  </si>
  <si>
    <t>Burnley</t>
  </si>
  <si>
    <t>Parma</t>
  </si>
  <si>
    <t>East Hertfordshire</t>
  </si>
  <si>
    <t>New Forest</t>
  </si>
  <si>
    <t>Midi-Pyrénées</t>
  </si>
  <si>
    <t>West Oxfordshire</t>
  </si>
  <si>
    <t>Kinross-Shire</t>
  </si>
  <si>
    <t>Uttlesford</t>
  </si>
  <si>
    <t>St Edmundsbury</t>
  </si>
  <si>
    <t>Enfield</t>
  </si>
  <si>
    <t>Shetland</t>
  </si>
  <si>
    <t>Orkney Islands</t>
  </si>
  <si>
    <t>Nova Scotia</t>
  </si>
  <si>
    <t>Boston</t>
  </si>
  <si>
    <t>United States</t>
  </si>
  <si>
    <t>New Hampshire</t>
  </si>
  <si>
    <t>Maine</t>
  </si>
  <si>
    <t>Milano</t>
  </si>
  <si>
    <t>Guyane</t>
  </si>
  <si>
    <t>West Norfolk</t>
  </si>
  <si>
    <t>Cosenza</t>
  </si>
  <si>
    <t>Genova</t>
  </si>
  <si>
    <t>Isernia</t>
  </si>
  <si>
    <t>Eden</t>
  </si>
  <si>
    <t>Copeland</t>
  </si>
  <si>
    <t>Germany</t>
  </si>
  <si>
    <t>Berlin</t>
  </si>
  <si>
    <t>Alsace</t>
  </si>
  <si>
    <t>Swindon</t>
  </si>
  <si>
    <t>Chelmsford</t>
  </si>
  <si>
    <t>South Kesteven</t>
  </si>
  <si>
    <t>Pembrokeshire</t>
  </si>
  <si>
    <t>Messina</t>
  </si>
  <si>
    <t>Cuneo</t>
  </si>
  <si>
    <t>Worcester</t>
  </si>
  <si>
    <t>Wyoming</t>
  </si>
  <si>
    <t>Isle of Man</t>
  </si>
  <si>
    <t>Mantova</t>
  </si>
  <si>
    <t>Cheshire East</t>
  </si>
  <si>
    <t>Vale of White Horse</t>
  </si>
  <si>
    <t>Northwest Territories</t>
  </si>
  <si>
    <t>Derbyshire Dales</t>
  </si>
  <si>
    <t>Tewkesbury</t>
  </si>
  <si>
    <t>Monmouthshire</t>
  </si>
  <si>
    <t>North Lanarkshire</t>
  </si>
  <si>
    <t>Gelderland</t>
  </si>
  <si>
    <t>Oregon</t>
  </si>
  <si>
    <t>Ceredigion</t>
  </si>
  <si>
    <t>Sachsen-Anhalt</t>
  </si>
  <si>
    <t>Kentucky</t>
  </si>
  <si>
    <t>Shropshire</t>
  </si>
  <si>
    <t>Montana</t>
  </si>
  <si>
    <t>Teramo</t>
  </si>
  <si>
    <t>Salerno</t>
  </si>
  <si>
    <t>Hamburg</t>
  </si>
  <si>
    <t>Zeeland</t>
  </si>
  <si>
    <t>British Columbia</t>
  </si>
  <si>
    <t>Groningen</t>
  </si>
  <si>
    <t>Centre</t>
  </si>
  <si>
    <t>Charnwood</t>
  </si>
  <si>
    <t>Breckland</t>
  </si>
  <si>
    <t>Arezzo</t>
  </si>
  <si>
    <t>Harrogate</t>
  </si>
  <si>
    <t>Wiltshire</t>
  </si>
  <si>
    <t>Wirral</t>
  </si>
  <si>
    <t>Wolverhampton</t>
  </si>
  <si>
    <t>Udine</t>
  </si>
  <si>
    <t>Australia</t>
  </si>
  <si>
    <t>Tasmania</t>
  </si>
  <si>
    <t>Doncaster</t>
  </si>
  <si>
    <t>Bromley</t>
  </si>
  <si>
    <t>Cambridge</t>
  </si>
  <si>
    <t>Saarland</t>
  </si>
  <si>
    <t>Verona</t>
  </si>
  <si>
    <t>Vicenza</t>
  </si>
  <si>
    <t>Cremona</t>
  </si>
  <si>
    <t>Mid Suffolk</t>
  </si>
  <si>
    <t>Roma</t>
  </si>
  <si>
    <t>Knowsley</t>
  </si>
  <si>
    <t>South Lakeland</t>
  </si>
  <si>
    <t>Aquitaine</t>
  </si>
  <si>
    <t>Gorizia</t>
  </si>
  <si>
    <t>South Hams</t>
  </si>
  <si>
    <t>Nunavut</t>
  </si>
  <si>
    <t>La Spezia</t>
  </si>
  <si>
    <t>Rugby</t>
  </si>
  <si>
    <t>Lecce</t>
  </si>
  <si>
    <t>Massa</t>
  </si>
  <si>
    <t>Picardie</t>
  </si>
  <si>
    <t>Biella</t>
  </si>
  <si>
    <t>Poitou-Charentes</t>
  </si>
  <si>
    <t>Napoli</t>
  </si>
  <si>
    <t>Novara</t>
  </si>
  <si>
    <t>Nottingham</t>
  </si>
  <si>
    <t>North Warwickshire</t>
  </si>
  <si>
    <t>North Dorset</t>
  </si>
  <si>
    <t>Warwick</t>
  </si>
  <si>
    <t>Pisa</t>
  </si>
  <si>
    <t>Milton Keynes</t>
  </si>
  <si>
    <t>Waverley</t>
  </si>
  <si>
    <t>Angus</t>
  </si>
  <si>
    <t>Ferrara</t>
  </si>
  <si>
    <t>Asti</t>
  </si>
  <si>
    <t>Nordrhein-Westfalen</t>
  </si>
  <si>
    <t>North Yorkshire</t>
  </si>
  <si>
    <t>Potenza</t>
  </si>
  <si>
    <t>Aberdeenshire</t>
  </si>
  <si>
    <t>Bergamo</t>
  </si>
  <si>
    <t>Pennsylvania</t>
  </si>
  <si>
    <t>South Derbyshire</t>
  </si>
  <si>
    <t>Stroud</t>
  </si>
  <si>
    <t>Nevada</t>
  </si>
  <si>
    <t>South Dakota</t>
  </si>
  <si>
    <t>Viterbo</t>
  </si>
  <si>
    <t>Delaware</t>
  </si>
  <si>
    <t>Connecticut</t>
  </si>
  <si>
    <t>New Mexico</t>
  </si>
  <si>
    <t>Virginia</t>
  </si>
  <si>
    <t>South Lanarkshire</t>
  </si>
  <si>
    <t>Pays de la Loire</t>
  </si>
  <si>
    <t>Varese</t>
  </si>
  <si>
    <t>Gloucester</t>
  </si>
  <si>
    <t>West Dunbartonshire</t>
  </si>
  <si>
    <t>Highland</t>
  </si>
  <si>
    <t>Ontario</t>
  </si>
  <si>
    <t>Massachusetts</t>
  </si>
  <si>
    <t>Indiana</t>
  </si>
  <si>
    <t>Dumfriesshire</t>
  </si>
  <si>
    <t>Colorado</t>
  </si>
  <si>
    <t>Rhode Island</t>
  </si>
  <si>
    <t>Gwynedd</t>
  </si>
  <si>
    <t>Melton</t>
  </si>
  <si>
    <t>Wyre Forest</t>
  </si>
  <si>
    <t>Babergh</t>
  </si>
  <si>
    <t>Grosseto</t>
  </si>
  <si>
    <t>Cotswold</t>
  </si>
  <si>
    <t>Saskatchewan</t>
  </si>
  <si>
    <t>Tennessee</t>
  </si>
  <si>
    <t>North Carolina</t>
  </si>
  <si>
    <t>Minnesota</t>
  </si>
  <si>
    <t>Argyllshire</t>
  </si>
  <si>
    <t>Sassari</t>
  </si>
  <si>
    <t>Campobasso</t>
  </si>
  <si>
    <t>Île-de-France</t>
  </si>
  <si>
    <t>Lucca</t>
  </si>
  <si>
    <t>Noord-Holland</t>
  </si>
  <si>
    <t>New Jersey</t>
  </si>
  <si>
    <t>Florida</t>
  </si>
  <si>
    <t>Lewes</t>
  </si>
  <si>
    <t>Zuid-Holland</t>
  </si>
  <si>
    <t>Lincoln</t>
  </si>
  <si>
    <t>Niedersachsen</t>
  </si>
  <si>
    <t>Falkirk</t>
  </si>
  <si>
    <t>Limburg</t>
  </si>
  <si>
    <t>Georgia</t>
  </si>
  <si>
    <t>Oklahoma</t>
  </si>
  <si>
    <t>Michigan</t>
  </si>
  <si>
    <t>Washington</t>
  </si>
  <si>
    <t>Reggio Calabria</t>
  </si>
  <si>
    <t>Siracusa</t>
  </si>
  <si>
    <t>Yukon</t>
  </si>
  <si>
    <t>York</t>
  </si>
  <si>
    <t>West Lancashire</t>
  </si>
  <si>
    <t>Cornwall</t>
  </si>
  <si>
    <t>Hillingdon</t>
  </si>
  <si>
    <t>East Northamptonshire</t>
  </si>
  <si>
    <t>Maidstone</t>
  </si>
  <si>
    <t>Alabama</t>
  </si>
  <si>
    <t>New South Wales</t>
  </si>
  <si>
    <t>Texas</t>
  </si>
  <si>
    <t>West Virginia</t>
  </si>
  <si>
    <t>Queensland</t>
  </si>
  <si>
    <t>Staffordshire</t>
  </si>
  <si>
    <t>Maryland</t>
  </si>
  <si>
    <t>Quebec</t>
  </si>
  <si>
    <t>California</t>
  </si>
  <si>
    <t>North Kesteven</t>
  </si>
  <si>
    <t>Rheinland-Pfalz</t>
  </si>
  <si>
    <t>Ascoli Piceno</t>
  </si>
  <si>
    <t>Flevoland</t>
  </si>
  <si>
    <t>Hereford</t>
  </si>
  <si>
    <t>Ohio</t>
  </si>
  <si>
    <t>Savona</t>
  </si>
  <si>
    <t>Freistaat Bayern</t>
  </si>
  <si>
    <t>Kansas</t>
  </si>
  <si>
    <t>New York</t>
  </si>
  <si>
    <t>Missouri</t>
  </si>
  <si>
    <t>Trento</t>
  </si>
  <si>
    <t>Western Australia</t>
  </si>
  <si>
    <t>Illinois</t>
  </si>
  <si>
    <t>South Carolina</t>
  </si>
  <si>
    <t>Wisconsin</t>
  </si>
  <si>
    <t>Alberta</t>
  </si>
  <si>
    <t>Provence-Alpes-Côte d'Azur</t>
  </si>
  <si>
    <t>Friesland</t>
  </si>
  <si>
    <t>Fife</t>
  </si>
  <si>
    <t>Louisiana</t>
  </si>
  <si>
    <t>Languedoc-Roussillon</t>
  </si>
  <si>
    <t>Hessen</t>
  </si>
  <si>
    <t>Victoria</t>
  </si>
  <si>
    <t>Arkansas</t>
  </si>
  <si>
    <t>Kirkcudbrightshire</t>
  </si>
  <si>
    <t>Iowa</t>
  </si>
  <si>
    <t>Norfolk</t>
  </si>
  <si>
    <t>Torino</t>
  </si>
  <si>
    <t>North Hertfordshire</t>
  </si>
  <si>
    <t>Mecklenburg-Vorpommern</t>
  </si>
  <si>
    <t>Northumberland</t>
  </si>
  <si>
    <t>Somerset</t>
  </si>
  <si>
    <t>Comhairle nan Eilean Siar</t>
  </si>
  <si>
    <t>Lancaster</t>
  </si>
  <si>
    <t>Aberdeen</t>
  </si>
  <si>
    <t>Vermont</t>
  </si>
  <si>
    <t>Oxford</t>
  </si>
  <si>
    <t>Leicester</t>
  </si>
  <si>
    <t>Nord-Pas-de-Calais</t>
  </si>
  <si>
    <t>Freistaat Sachsen</t>
  </si>
  <si>
    <t>Arizona</t>
  </si>
  <si>
    <t>Brandenburg</t>
  </si>
  <si>
    <t>West Dorset</t>
  </si>
  <si>
    <t>Bretagne</t>
  </si>
  <si>
    <t>Prince Edward Island</t>
  </si>
  <si>
    <t>Ashford</t>
  </si>
  <si>
    <t>Berkshire</t>
  </si>
  <si>
    <t>Venezia</t>
  </si>
  <si>
    <t>Corse</t>
  </si>
  <si>
    <t>Dundee</t>
  </si>
  <si>
    <t>Catanzaro</t>
  </si>
  <si>
    <t>South Staffordshire</t>
  </si>
  <si>
    <t>Vercelli</t>
  </si>
  <si>
    <t>East Hampshire</t>
  </si>
  <si>
    <t>Mid Sussex</t>
  </si>
  <si>
    <t>North Lincolnshire</t>
  </si>
  <si>
    <t>Kennet</t>
  </si>
  <si>
    <t>Newark and Sherwood</t>
  </si>
  <si>
    <t>Pescara</t>
  </si>
  <si>
    <t>North Ayrshire</t>
  </si>
  <si>
    <t>Bromsgrove</t>
  </si>
  <si>
    <t>Ribble Valley</t>
  </si>
  <si>
    <t>Kensington and Chelsea</t>
  </si>
  <si>
    <t>Crawley</t>
  </si>
  <si>
    <t>Ipswich</t>
  </si>
  <si>
    <t>Avellino</t>
  </si>
  <si>
    <t>Bologna</t>
  </si>
  <si>
    <t>Tunbridge Wells</t>
  </si>
  <si>
    <t>Welwyn Hatfield</t>
  </si>
  <si>
    <t>Gravesham</t>
  </si>
  <si>
    <t>Baden-Württemberg</t>
  </si>
  <si>
    <t>Exeter</t>
  </si>
  <si>
    <t>Carlisle</t>
  </si>
  <si>
    <t>Schleswig-Holstein</t>
  </si>
  <si>
    <t>Idaho</t>
  </si>
  <si>
    <t>Australian Capital Territory</t>
  </si>
  <si>
    <t>Utrecht</t>
  </si>
  <si>
    <t>Noord-Brabant</t>
  </si>
  <si>
    <t>L'Aquila</t>
  </si>
  <si>
    <t>Hawaii</t>
  </si>
  <si>
    <t>Rotherham</t>
  </si>
  <si>
    <t>Anglesey</t>
  </si>
  <si>
    <t>Brescia</t>
  </si>
  <si>
    <t>Powys</t>
  </si>
  <si>
    <t>Utah</t>
  </si>
  <si>
    <t>North Dakota</t>
  </si>
  <si>
    <t>Mississippi</t>
  </si>
  <si>
    <t>Kent</t>
  </si>
  <si>
    <t>Overijssel</t>
  </si>
  <si>
    <t>Rhône-Alpes</t>
  </si>
  <si>
    <t>Alessandria</t>
  </si>
  <si>
    <t>Champagne-Ardenne</t>
  </si>
  <si>
    <t>County Durham</t>
  </si>
  <si>
    <t>Pavia</t>
  </si>
  <si>
    <t>Test Valley</t>
  </si>
  <si>
    <t>Rother</t>
  </si>
  <si>
    <t>Freistaat Thüringen</t>
  </si>
  <si>
    <t>South Australia</t>
  </si>
  <si>
    <t>East Riding of Yorkshire</t>
  </si>
  <si>
    <t>Washington DC</t>
  </si>
  <si>
    <t>Cheshire West and Chester</t>
  </si>
  <si>
    <t>Stratford-on-Avon</t>
  </si>
  <si>
    <t>Bristol</t>
  </si>
  <si>
    <t>Flintshire</t>
  </si>
  <si>
    <t>Chieti</t>
  </si>
  <si>
    <t>Tandridge</t>
  </si>
  <si>
    <t>Bourgogne</t>
  </si>
  <si>
    <t>Alaska</t>
  </si>
  <si>
    <t>Perth and Kinross</t>
  </si>
  <si>
    <t>Nebraska</t>
  </si>
  <si>
    <t>Firenze</t>
  </si>
  <si>
    <t>Rutland</t>
  </si>
  <si>
    <t>Catania</t>
  </si>
  <si>
    <t>Nuoro</t>
  </si>
  <si>
    <t>Wycombe</t>
  </si>
  <si>
    <t>Hampshire</t>
  </si>
  <si>
    <t>Daventry</t>
  </si>
  <si>
    <t>Rieti</t>
  </si>
  <si>
    <t>Freie Hansestadt Bremen</t>
  </si>
  <si>
    <t>Liverpool</t>
  </si>
  <si>
    <t>Perugia</t>
  </si>
  <si>
    <t>East Lindsey</t>
  </si>
  <si>
    <t>Aylesbury Vale</t>
  </si>
  <si>
    <t>Amber Valley</t>
  </si>
  <si>
    <t>Rovigo</t>
  </si>
  <si>
    <t>Caerphilly</t>
  </si>
  <si>
    <t>Bari</t>
  </si>
  <si>
    <t>Dudley</t>
  </si>
  <si>
    <t>Lichfield</t>
  </si>
  <si>
    <t>Conwy</t>
  </si>
  <si>
    <t>Horsham</t>
  </si>
  <si>
    <t>Craven</t>
  </si>
  <si>
    <t>Midlothian</t>
  </si>
  <si>
    <t>Fylde</t>
  </si>
  <si>
    <t>West Lothian</t>
  </si>
  <si>
    <t>Gateshead</t>
  </si>
  <si>
    <t>Guildford</t>
  </si>
  <si>
    <t>Hackney</t>
  </si>
  <si>
    <t>Sussex</t>
  </si>
  <si>
    <t>Swansea</t>
  </si>
  <si>
    <t>Huntingdonshire</t>
  </si>
  <si>
    <t>Rhondda Cynon Taf</t>
  </si>
  <si>
    <t>Llandrindod Wells</t>
  </si>
  <si>
    <t>Wealden</t>
  </si>
  <si>
    <t>Pistoia</t>
  </si>
  <si>
    <t>Aosta</t>
  </si>
  <si>
    <t>Newport</t>
  </si>
  <si>
    <t>Darlington</t>
  </si>
  <si>
    <t>Mid Devon</t>
  </si>
  <si>
    <t>Warrington</t>
  </si>
  <si>
    <t>Belluno</t>
  </si>
  <si>
    <t>Haute-Normandie</t>
  </si>
  <si>
    <t>Latina</t>
  </si>
  <si>
    <t>Rimini</t>
  </si>
  <si>
    <t>Prato</t>
  </si>
  <si>
    <t>Ravenna</t>
  </si>
  <si>
    <t>Central Bedfordshire</t>
  </si>
  <si>
    <t>Taranto</t>
  </si>
  <si>
    <t>Westminster</t>
  </si>
  <si>
    <t>Allerdale</t>
  </si>
  <si>
    <t>South Somerset</t>
  </si>
  <si>
    <t>Northern Territory</t>
  </si>
  <si>
    <t>Wigtownshire</t>
  </si>
  <si>
    <t>Telford and Wrekin</t>
  </si>
  <si>
    <t>Rushcliffe</t>
  </si>
  <si>
    <t>Winchester</t>
  </si>
  <si>
    <t>Bedford</t>
  </si>
  <si>
    <t>South Gloucestershire</t>
  </si>
  <si>
    <t>quantity</t>
  </si>
  <si>
    <t>Country</t>
  </si>
  <si>
    <t>State</t>
  </si>
  <si>
    <t>Average Delivery Days</t>
  </si>
  <si>
    <t>Remarks</t>
  </si>
  <si>
    <t xml:space="preserve">Top 5 Slowest Shipping Destinations                       </t>
  </si>
  <si>
    <t>PERFORMANCE ALERTS</t>
  </si>
  <si>
    <t xml:space="preserve"> OVERVIEW METRICS</t>
  </si>
  <si>
    <t>Overall Average Delivery Time</t>
  </si>
  <si>
    <t>Slowest Product Category</t>
  </si>
  <si>
    <r>
      <t xml:space="preserve">LOGISTICS PERFORMANCE REPORT
</t>
    </r>
    <r>
      <rPr>
        <b/>
        <sz val="20"/>
        <color theme="4" tint="-0.499984740745262"/>
        <rFont val="Segoe UI"/>
        <family val="2"/>
      </rPr>
      <t>Online Channel Overview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</si>
</sst>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Segoe UI"/>
      <family val="2"/>
    </font>
    <font>
      <sz val="8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Segoe UI"/>
      <family val="2"/>
    </font>
    <font>
      <b/>
      <sz val="12"/>
      <color theme="0"/>
      <name val="Segoe UI"/>
      <family val="2"/>
    </font>
    <font>
      <sz val="9"/>
      <color theme="1"/>
      <name val="Segoe UI"/>
      <family val="2"/>
    </font>
    <font>
      <sz val="9"/>
      <color theme="1" tint="0.34998626667073579"/>
      <name val="Segoe UI"/>
      <family val="2"/>
    </font>
    <font>
      <b/>
      <sz val="20"/>
      <color theme="4" tint="-0.499984740745262"/>
      <name val="Segoe UI"/>
      <family val="2"/>
    </font>
    <font>
      <b/>
      <sz val="12"/>
      <color theme="1" tint="0.249977111117893"/>
      <name val="Segoe UI"/>
      <family val="2"/>
    </font>
    <font>
      <b/>
      <sz val="18"/>
      <color theme="4" tint="-0.499984740745262"/>
      <name val="Segoe UI"/>
      <family val="2"/>
    </font>
    <font>
      <b/>
      <sz val="22"/>
      <color theme="4" tint="-0.499984740745262"/>
      <name val="Segoe UI"/>
      <family val="2"/>
    </font>
    <font>
      <sz val="11"/>
      <color theme="1" tint="0.249977111117893"/>
      <name val="Segoe UI"/>
      <family val="2"/>
    </font>
    <font>
      <b/>
      <sz val="10"/>
      <color theme="4" tint="-0.499984740745262"/>
      <name val="Segoe UI"/>
      <family val="2"/>
    </font>
    <font>
      <sz val="9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2" fillId="0" borderId="0" xfId="0" applyFont="1"/>
    <xf numFmtId="0" fontId="11" fillId="0" borderId="0" xfId="0" applyFont="1"/>
    <xf numFmtId="0" fontId="14" fillId="2" borderId="0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vertical="center" wrapText="1"/>
    </xf>
    <xf numFmtId="0" fontId="11" fillId="2" borderId="0" xfId="0" applyFont="1" applyFill="1" applyBorder="1"/>
    <xf numFmtId="0" fontId="8" fillId="2" borderId="0" xfId="0" applyFont="1" applyFill="1" applyBorder="1"/>
    <xf numFmtId="0" fontId="15" fillId="2" borderId="0" xfId="0" applyFont="1" applyFill="1" applyBorder="1"/>
    <xf numFmtId="0" fontId="7" fillId="2" borderId="0" xfId="0" applyFont="1" applyFill="1" applyBorder="1"/>
    <xf numFmtId="0" fontId="8" fillId="2" borderId="0" xfId="0" applyFont="1" applyFill="1" applyBorder="1" applyAlignment="1"/>
    <xf numFmtId="0" fontId="2" fillId="2" borderId="0" xfId="0" applyFont="1" applyFill="1" applyBorder="1"/>
    <xf numFmtId="0" fontId="4" fillId="2" borderId="0" xfId="0" applyFont="1" applyFill="1" applyBorder="1"/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1" fillId="2" borderId="7" xfId="0" applyFont="1" applyFill="1" applyBorder="1"/>
    <xf numFmtId="0" fontId="11" fillId="2" borderId="8" xfId="0" applyFont="1" applyFill="1" applyBorder="1"/>
    <xf numFmtId="0" fontId="8" fillId="2" borderId="7" xfId="0" applyFont="1" applyFill="1" applyBorder="1"/>
    <xf numFmtId="0" fontId="8" fillId="2" borderId="8" xfId="0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8" fillId="2" borderId="7" xfId="0" applyFont="1" applyFill="1" applyBorder="1" applyAlignment="1"/>
    <xf numFmtId="0" fontId="2" fillId="2" borderId="7" xfId="0" applyFont="1" applyFill="1" applyBorder="1"/>
    <xf numFmtId="0" fontId="2" fillId="2" borderId="8" xfId="0" applyFont="1" applyFill="1" applyBorder="1" applyAlignment="1">
      <alignment vertical="center"/>
    </xf>
    <xf numFmtId="0" fontId="2" fillId="2" borderId="8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5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/>
    </xf>
    <xf numFmtId="0" fontId="1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PH" sz="1200" b="1">
                <a:solidFill>
                  <a:schemeClr val="tx1">
                    <a:lumMod val="75000"/>
                    <a:lumOff val="25000"/>
                  </a:schemeClr>
                </a:solidFill>
              </a:rPr>
              <a:t>Fulfillment Speed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Category_Performance!$A$2:$A$9</c:f>
              <c:strCache>
                <c:ptCount val="8"/>
                <c:pt idx="0">
                  <c:v>TV and Video</c:v>
                </c:pt>
                <c:pt idx="1">
                  <c:v>Home Appliances</c:v>
                </c:pt>
                <c:pt idx="2">
                  <c:v>Music, Movies and Audio Books</c:v>
                </c:pt>
                <c:pt idx="3">
                  <c:v>Cameras and camcorders</c:v>
                </c:pt>
                <c:pt idx="4">
                  <c:v>Audio</c:v>
                </c:pt>
                <c:pt idx="5">
                  <c:v>Games and Toys</c:v>
                </c:pt>
                <c:pt idx="6">
                  <c:v>Computers</c:v>
                </c:pt>
                <c:pt idx="7">
                  <c:v>Cell phones</c:v>
                </c:pt>
              </c:strCache>
            </c:strRef>
          </c:cat>
          <c:val>
            <c:numRef>
              <c:f>Category_Performance!$B$2:$B$9</c:f>
              <c:numCache>
                <c:formatCode>General</c:formatCode>
                <c:ptCount val="8"/>
                <c:pt idx="0">
                  <c:v>4.8899999999999997</c:v>
                </c:pt>
                <c:pt idx="1">
                  <c:v>4.7699999999999996</c:v>
                </c:pt>
                <c:pt idx="2">
                  <c:v>4.59</c:v>
                </c:pt>
                <c:pt idx="3">
                  <c:v>4.5599999999999996</c:v>
                </c:pt>
                <c:pt idx="4">
                  <c:v>4.53</c:v>
                </c:pt>
                <c:pt idx="5">
                  <c:v>4.45</c:v>
                </c:pt>
                <c:pt idx="6">
                  <c:v>4.4400000000000004</c:v>
                </c:pt>
                <c:pt idx="7">
                  <c:v>4.3899999999999997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1-465D-A543-57ED035287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43"/>
        <c:axId val="404919904"/>
        <c:axId val="392375584"/>
      </c:barChart>
      <c:catAx>
        <c:axId val="4049199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392375584"/>
        <c:crosses val="autoZero"/>
        <c:auto val="1"/>
        <c:lblAlgn val="ctr"/>
        <c:lblOffset val="100"/>
        <c:noMultiLvlLbl val="0"/>
      </c:catAx>
      <c:valAx>
        <c:axId val="392375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491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PH" sz="1200" b="1"/>
              <a:t>Network Strain: Order Size vs Delivery Days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Quantity_Impact!$B$1</c:f>
              <c:strCache>
                <c:ptCount val="1"/>
                <c:pt idx="0">
                  <c:v>average_delivery_lead_time</c:v>
                </c:pt>
              </c:strCache>
            </c:strRef>
          </c:tx>
          <c:spPr>
            <a:ln w="412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Quantity_Impact!$B$2:$B$11</c:f>
              <c:numCache>
                <c:formatCode>General</c:formatCode>
                <c:ptCount val="10"/>
                <c:pt idx="0">
                  <c:v>4.51</c:v>
                </c:pt>
                <c:pt idx="1">
                  <c:v>4.57</c:v>
                </c:pt>
                <c:pt idx="2">
                  <c:v>4.55</c:v>
                </c:pt>
                <c:pt idx="3">
                  <c:v>4.49</c:v>
                </c:pt>
                <c:pt idx="4">
                  <c:v>4.45</c:v>
                </c:pt>
                <c:pt idx="5">
                  <c:v>4.5</c:v>
                </c:pt>
                <c:pt idx="6">
                  <c:v>4.51</c:v>
                </c:pt>
                <c:pt idx="7">
                  <c:v>4.57</c:v>
                </c:pt>
                <c:pt idx="8">
                  <c:v>4.62</c:v>
                </c:pt>
                <c:pt idx="9">
                  <c:v>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B-4835-A415-8C6C1AFA7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484944"/>
        <c:axId val="407068032"/>
      </c:lineChart>
      <c:catAx>
        <c:axId val="445484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PH" sz="900" b="1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Order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407068032"/>
        <c:crosses val="autoZero"/>
        <c:auto val="1"/>
        <c:lblAlgn val="ctr"/>
        <c:lblOffset val="100"/>
        <c:noMultiLvlLbl val="0"/>
      </c:catAx>
      <c:valAx>
        <c:axId val="40706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PH" sz="900" b="1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Average Delivery Days</a:t>
                </a:r>
              </a:p>
              <a:p>
                <a:pPr>
                  <a:defRPr sz="900" b="1">
                    <a:solidFill>
                      <a:schemeClr val="tx1">
                        <a:lumMod val="65000"/>
                        <a:lumOff val="35000"/>
                      </a:schemeClr>
                    </a:solidFill>
                  </a:defRPr>
                </a:pPr>
                <a:endParaRPr lang="en-PH" sz="900" b="1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44548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179386</xdr:rowOff>
    </xdr:from>
    <xdr:to>
      <xdr:col>8</xdr:col>
      <xdr:colOff>304800</xdr:colOff>
      <xdr:row>27</xdr:row>
      <xdr:rowOff>47623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B64EBA-C655-4B6D-9267-F82760DA3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447674</xdr:colOff>
      <xdr:row>11</xdr:row>
      <xdr:rowOff>176209</xdr:rowOff>
    </xdr:from>
    <xdr:to>
      <xdr:col>16</xdr:col>
      <xdr:colOff>3174</xdr:colOff>
      <xdr:row>27</xdr:row>
      <xdr:rowOff>50797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332F09-CFA2-49CA-8DE3-BAB832A3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E04F-DD0C-4B74-84BF-54478BA20EC0}">
  <dimension ref="A1:Q67"/>
  <sheetViews>
    <sheetView showGridLines="0" tabSelected="1" topLeftCell="A3" zoomScaleNormal="100" workbookViewId="0">
      <selection activeCell="XFD1" sqref="XFD1"/>
    </sheetView>
  </sheetViews>
  <sheetFormatPr defaultColWidth="0" defaultRowHeight="16.5" zeroHeight="1" x14ac:dyDescent="0.45"/>
  <cols>
    <col min="1" max="1" width="4.1796875" style="2" customWidth="1"/>
    <col min="2" max="15" width="8.7265625" style="2" customWidth="1"/>
    <col min="16" max="16" width="13.1796875" style="2" customWidth="1"/>
    <col min="17" max="17" width="7.26953125" style="2" customWidth="1"/>
    <col min="18" max="16384" width="8.7265625" style="2" hidden="1"/>
  </cols>
  <sheetData>
    <row r="1" spans="1:17" ht="16.5" customHeight="1" x14ac:dyDescent="0.45">
      <c r="A1" s="34" t="s">
        <v>423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6"/>
    </row>
    <row r="2" spans="1:17" ht="20" customHeight="1" x14ac:dyDescent="0.45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9"/>
    </row>
    <row r="3" spans="1:17" ht="24.5" customHeight="1" x14ac:dyDescent="0.45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9"/>
    </row>
    <row r="4" spans="1:17" s="6" customFormat="1" ht="16" x14ac:dyDescent="0.45">
      <c r="A4" s="1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19"/>
    </row>
    <row r="5" spans="1:17" s="6" customFormat="1" ht="16.5" customHeight="1" thickBot="1" x14ac:dyDescent="0.5">
      <c r="A5" s="18"/>
      <c r="B5" s="40" t="s">
        <v>420</v>
      </c>
      <c r="C5" s="40"/>
      <c r="D5" s="40"/>
      <c r="E5" s="9"/>
      <c r="F5" s="9"/>
      <c r="G5" s="8"/>
      <c r="H5" s="40" t="s">
        <v>419</v>
      </c>
      <c r="I5" s="40"/>
      <c r="J5" s="40"/>
      <c r="K5" s="9"/>
      <c r="L5" s="9"/>
      <c r="M5" s="9"/>
      <c r="N5" s="9"/>
      <c r="O5" s="9"/>
      <c r="P5" s="9"/>
      <c r="Q5" s="19"/>
    </row>
    <row r="6" spans="1:17" s="6" customFormat="1" ht="10.5" customHeight="1" thickTop="1" x14ac:dyDescent="0.45">
      <c r="A6" s="18"/>
      <c r="B6" s="40"/>
      <c r="C6" s="40"/>
      <c r="D6" s="40"/>
      <c r="E6" s="8"/>
      <c r="F6" s="8"/>
      <c r="G6" s="8"/>
      <c r="H6" s="40"/>
      <c r="I6" s="40"/>
      <c r="J6" s="40"/>
      <c r="K6" s="10"/>
      <c r="L6" s="10"/>
      <c r="M6" s="8"/>
      <c r="N6" s="8"/>
      <c r="O6" s="8"/>
      <c r="P6" s="8"/>
      <c r="Q6" s="19"/>
    </row>
    <row r="7" spans="1:17" s="7" customFormat="1" ht="26" x14ac:dyDescent="0.65">
      <c r="A7" s="20"/>
      <c r="B7" s="11"/>
      <c r="C7" s="11" t="str">
        <f>_xlfn.CONCAT(KPI_Summary!$B$2, " Days")</f>
        <v>4.53 Days</v>
      </c>
      <c r="D7" s="11"/>
      <c r="E7" s="11"/>
      <c r="F7" s="11"/>
      <c r="G7" s="11"/>
      <c r="H7" s="11"/>
      <c r="I7" s="11" t="str">
        <f>_xlfn.CONCAT(KPI_Summary!$B$4, " Days")</f>
        <v>TV and Video, 4.89 Days</v>
      </c>
      <c r="J7" s="11"/>
      <c r="K7" s="11"/>
      <c r="L7" s="11"/>
      <c r="M7" s="11"/>
      <c r="N7" s="11"/>
      <c r="O7" s="11"/>
      <c r="P7" s="11"/>
      <c r="Q7" s="21"/>
    </row>
    <row r="8" spans="1:17" s="5" customFormat="1" ht="14" x14ac:dyDescent="0.4">
      <c r="A8" s="22"/>
      <c r="B8" s="12"/>
      <c r="C8" s="13" t="s">
        <v>421</v>
      </c>
      <c r="D8" s="12"/>
      <c r="E8" s="12"/>
      <c r="F8" s="12"/>
      <c r="G8" s="12"/>
      <c r="H8" s="12"/>
      <c r="I8" s="12" t="s">
        <v>422</v>
      </c>
      <c r="J8" s="12"/>
      <c r="K8" s="12"/>
      <c r="L8" s="12"/>
      <c r="M8" s="12"/>
      <c r="N8" s="12"/>
      <c r="O8" s="12"/>
      <c r="P8" s="12"/>
      <c r="Q8" s="23"/>
    </row>
    <row r="9" spans="1:17" s="4" customFormat="1" ht="14" x14ac:dyDescent="0.4">
      <c r="A9" s="2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25"/>
    </row>
    <row r="10" spans="1:17" s="7" customFormat="1" ht="26" x14ac:dyDescent="0.65">
      <c r="A10" s="20"/>
      <c r="B10" s="11"/>
      <c r="C10" s="11" t="str">
        <f>TEXT(KPI_Summary!$B$3, "0,000")</f>
        <v>41,311</v>
      </c>
      <c r="D10" s="11"/>
      <c r="E10" s="11"/>
      <c r="F10" s="11"/>
      <c r="G10" s="11"/>
      <c r="H10" s="11"/>
      <c r="I10" s="11" t="str">
        <f>_xlfn.CONCAT(KPI_Summary!$B$5, " Days")</f>
        <v>United Kingdom, Isle of Wight, 13.00 Days</v>
      </c>
      <c r="J10" s="11"/>
      <c r="K10" s="11"/>
      <c r="L10" s="11"/>
      <c r="M10" s="11"/>
      <c r="N10" s="11"/>
      <c r="O10" s="11"/>
      <c r="P10" s="11"/>
      <c r="Q10" s="21"/>
    </row>
    <row r="11" spans="1:17" s="5" customFormat="1" ht="14" x14ac:dyDescent="0.4">
      <c r="A11" s="26"/>
      <c r="B11" s="12"/>
      <c r="C11" s="13" t="s">
        <v>3</v>
      </c>
      <c r="D11" s="12"/>
      <c r="E11" s="15"/>
      <c r="F11" s="15"/>
      <c r="G11" s="15"/>
      <c r="H11" s="15"/>
      <c r="I11" s="13" t="s">
        <v>6</v>
      </c>
      <c r="J11" s="12"/>
      <c r="K11" s="12"/>
      <c r="L11" s="15"/>
      <c r="M11" s="15"/>
      <c r="N11" s="15"/>
      <c r="O11" s="15"/>
      <c r="P11" s="15"/>
      <c r="Q11" s="23"/>
    </row>
    <row r="12" spans="1:17" s="6" customFormat="1" ht="16" x14ac:dyDescent="0.45">
      <c r="A12" s="27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8"/>
    </row>
    <row r="13" spans="1:17" s="6" customFormat="1" ht="16" x14ac:dyDescent="0.45">
      <c r="A13" s="27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29"/>
    </row>
    <row r="14" spans="1:17" x14ac:dyDescent="0.45">
      <c r="A14" s="30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31"/>
    </row>
    <row r="15" spans="1:17" x14ac:dyDescent="0.45">
      <c r="A15" s="30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31"/>
    </row>
    <row r="16" spans="1:17" x14ac:dyDescent="0.45">
      <c r="A16" s="30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31"/>
    </row>
    <row r="17" spans="1:17" x14ac:dyDescent="0.45">
      <c r="A17" s="30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31"/>
    </row>
    <row r="18" spans="1:17" x14ac:dyDescent="0.45">
      <c r="A18" s="3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31"/>
    </row>
    <row r="19" spans="1:17" x14ac:dyDescent="0.45">
      <c r="A19" s="3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31"/>
    </row>
    <row r="20" spans="1:17" x14ac:dyDescent="0.45">
      <c r="A20" s="30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31"/>
    </row>
    <row r="21" spans="1:17" x14ac:dyDescent="0.45">
      <c r="A21" s="30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31"/>
    </row>
    <row r="22" spans="1:17" x14ac:dyDescent="0.45">
      <c r="A22" s="30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31"/>
    </row>
    <row r="23" spans="1:17" x14ac:dyDescent="0.45">
      <c r="A23" s="30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31"/>
    </row>
    <row r="24" spans="1:17" x14ac:dyDescent="0.45">
      <c r="A24" s="30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31"/>
    </row>
    <row r="25" spans="1:17" x14ac:dyDescent="0.45">
      <c r="A25" s="30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31"/>
    </row>
    <row r="26" spans="1:17" x14ac:dyDescent="0.45">
      <c r="A26" s="30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31"/>
    </row>
    <row r="27" spans="1:17" x14ac:dyDescent="0.45">
      <c r="A27" s="30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31"/>
    </row>
    <row r="28" spans="1:17" x14ac:dyDescent="0.45">
      <c r="A28" s="30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31"/>
    </row>
    <row r="29" spans="1:17" s="3" customFormat="1" ht="28" customHeight="1" x14ac:dyDescent="0.35">
      <c r="A29" s="32"/>
      <c r="B29" s="41" t="s">
        <v>418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33"/>
    </row>
    <row r="30" spans="1:17" s="3" customFormat="1" ht="22" customHeight="1" x14ac:dyDescent="0.35">
      <c r="A30" s="32"/>
      <c r="B30" s="42" t="s">
        <v>414</v>
      </c>
      <c r="C30" s="42"/>
      <c r="D30" s="42"/>
      <c r="E30" s="42" t="s">
        <v>415</v>
      </c>
      <c r="F30" s="42"/>
      <c r="G30" s="42"/>
      <c r="H30" s="42"/>
      <c r="I30" s="42"/>
      <c r="J30" s="42" t="s">
        <v>416</v>
      </c>
      <c r="K30" s="42"/>
      <c r="L30" s="42"/>
      <c r="M30" s="42"/>
      <c r="N30" s="42" t="s">
        <v>417</v>
      </c>
      <c r="O30" s="42"/>
      <c r="P30" s="42"/>
      <c r="Q30" s="33"/>
    </row>
    <row r="31" spans="1:17" x14ac:dyDescent="0.45">
      <c r="A31" s="30"/>
      <c r="B31" s="43" t="str">
        <f>Geographic_Delays!E2</f>
        <v>United Kingdom</v>
      </c>
      <c r="C31" s="43"/>
      <c r="D31" s="43"/>
      <c r="E31" s="43" t="str">
        <f>Geographic_Delays!F2</f>
        <v>Isle of Wight</v>
      </c>
      <c r="F31" s="43"/>
      <c r="G31" s="43"/>
      <c r="H31" s="43"/>
      <c r="I31" s="43"/>
      <c r="J31" s="44">
        <f>Geographic_Delays!G2</f>
        <v>13</v>
      </c>
      <c r="K31" s="44"/>
      <c r="L31" s="44"/>
      <c r="M31" s="44"/>
      <c r="N31" s="45" t="str">
        <f>Geographic_Delays!H2</f>
        <v>Critical</v>
      </c>
      <c r="O31" s="45"/>
      <c r="P31" s="45"/>
      <c r="Q31" s="31"/>
    </row>
    <row r="32" spans="1:17" x14ac:dyDescent="0.45">
      <c r="A32" s="30"/>
      <c r="B32" s="43" t="str">
        <f>Geographic_Delays!E3</f>
        <v>United Kingdom</v>
      </c>
      <c r="C32" s="43"/>
      <c r="D32" s="43"/>
      <c r="E32" s="43" t="str">
        <f>Geographic_Delays!F3</f>
        <v>East Dorset</v>
      </c>
      <c r="F32" s="43"/>
      <c r="G32" s="43"/>
      <c r="H32" s="43"/>
      <c r="I32" s="43"/>
      <c r="J32" s="44">
        <f>Geographic_Delays!G3</f>
        <v>11</v>
      </c>
      <c r="K32" s="44"/>
      <c r="L32" s="44"/>
      <c r="M32" s="44"/>
      <c r="N32" s="45" t="str">
        <f>Geographic_Delays!H3</f>
        <v>High Risk</v>
      </c>
      <c r="O32" s="45"/>
      <c r="P32" s="45"/>
      <c r="Q32" s="31"/>
    </row>
    <row r="33" spans="1:17" x14ac:dyDescent="0.45">
      <c r="A33" s="30"/>
      <c r="B33" s="43" t="str">
        <f>Geographic_Delays!E4</f>
        <v>United Kingdom</v>
      </c>
      <c r="C33" s="43"/>
      <c r="D33" s="43"/>
      <c r="E33" s="43" t="str">
        <f>Geographic_Delays!F4</f>
        <v>Reigate and Banstead</v>
      </c>
      <c r="F33" s="43"/>
      <c r="G33" s="43"/>
      <c r="H33" s="43"/>
      <c r="I33" s="43"/>
      <c r="J33" s="44">
        <f>Geographic_Delays!G4</f>
        <v>10</v>
      </c>
      <c r="K33" s="44"/>
      <c r="L33" s="44"/>
      <c r="M33" s="44"/>
      <c r="N33" s="45" t="str">
        <f>Geographic_Delays!H4</f>
        <v>High Risk</v>
      </c>
      <c r="O33" s="45"/>
      <c r="P33" s="45"/>
      <c r="Q33" s="31"/>
    </row>
    <row r="34" spans="1:17" x14ac:dyDescent="0.45">
      <c r="A34" s="30"/>
      <c r="B34" s="43" t="str">
        <f>Geographic_Delays!E5</f>
        <v>United Kingdom</v>
      </c>
      <c r="C34" s="43"/>
      <c r="D34" s="43"/>
      <c r="E34" s="43" t="str">
        <f>Geographic_Delays!F5</f>
        <v>Selby</v>
      </c>
      <c r="F34" s="43"/>
      <c r="G34" s="43"/>
      <c r="H34" s="43"/>
      <c r="I34" s="43"/>
      <c r="J34" s="44">
        <f>Geographic_Delays!G5</f>
        <v>10</v>
      </c>
      <c r="K34" s="44"/>
      <c r="L34" s="44"/>
      <c r="M34" s="44"/>
      <c r="N34" s="45" t="str">
        <f>Geographic_Delays!H5</f>
        <v>High Risk</v>
      </c>
      <c r="O34" s="45"/>
      <c r="P34" s="45"/>
      <c r="Q34" s="17"/>
    </row>
    <row r="35" spans="1:17" x14ac:dyDescent="0.45">
      <c r="A35" s="17"/>
      <c r="B35" s="43" t="str">
        <f>Geographic_Delays!E6</f>
        <v>France</v>
      </c>
      <c r="C35" s="43"/>
      <c r="D35" s="43"/>
      <c r="E35" s="43" t="str">
        <f>Geographic_Delays!F6</f>
        <v>Auvergne</v>
      </c>
      <c r="F35" s="43"/>
      <c r="G35" s="43"/>
      <c r="H35" s="43"/>
      <c r="I35" s="43"/>
      <c r="J35" s="44">
        <f>Geographic_Delays!G6</f>
        <v>9</v>
      </c>
      <c r="K35" s="44"/>
      <c r="L35" s="44"/>
      <c r="M35" s="44"/>
      <c r="N35" s="45" t="str">
        <f>Geographic_Delays!H6</f>
        <v>Warning</v>
      </c>
      <c r="O35" s="45"/>
      <c r="P35" s="45"/>
      <c r="Q35" s="17"/>
    </row>
    <row r="36" spans="1:17" x14ac:dyDescent="0.4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</row>
    <row r="49" s="2" customFormat="1" hidden="1" x14ac:dyDescent="0.45"/>
    <row r="50" s="2" customFormat="1" hidden="1" x14ac:dyDescent="0.45"/>
    <row r="51" s="2" customFormat="1" hidden="1" x14ac:dyDescent="0.45"/>
    <row r="52" s="2" customFormat="1" hidden="1" x14ac:dyDescent="0.45"/>
    <row r="53" s="2" customFormat="1" hidden="1" x14ac:dyDescent="0.45"/>
    <row r="54" s="2" customFormat="1" hidden="1" x14ac:dyDescent="0.45"/>
    <row r="55" s="2" customFormat="1" hidden="1" x14ac:dyDescent="0.45"/>
    <row r="56" s="2" customFormat="1" hidden="1" x14ac:dyDescent="0.45"/>
    <row r="57" s="2" customFormat="1" hidden="1" x14ac:dyDescent="0.45"/>
    <row r="58" s="2" customFormat="1" hidden="1" x14ac:dyDescent="0.45"/>
    <row r="59" s="2" customFormat="1" hidden="1" x14ac:dyDescent="0.45"/>
    <row r="60" s="2" customFormat="1" hidden="1" x14ac:dyDescent="0.45"/>
    <row r="61" s="2" customFormat="1" hidden="1" x14ac:dyDescent="0.45"/>
    <row r="62" s="2" customFormat="1" hidden="1" x14ac:dyDescent="0.45"/>
    <row r="63" s="2" customFormat="1" hidden="1" x14ac:dyDescent="0.45"/>
    <row r="64" s="2" customFormat="1" hidden="1" x14ac:dyDescent="0.45"/>
    <row r="65" s="2" customFormat="1" hidden="1" x14ac:dyDescent="0.45"/>
    <row r="66" s="2" customFormat="1" hidden="1" x14ac:dyDescent="0.45"/>
    <row r="67" s="2" customFormat="1" hidden="1" x14ac:dyDescent="0.45"/>
  </sheetData>
  <sheetProtection sheet="1" objects="1" scenarios="1"/>
  <mergeCells count="28">
    <mergeCell ref="J35:M35"/>
    <mergeCell ref="E35:I35"/>
    <mergeCell ref="B30:D30"/>
    <mergeCell ref="B31:D31"/>
    <mergeCell ref="B32:D32"/>
    <mergeCell ref="B33:D33"/>
    <mergeCell ref="B34:D34"/>
    <mergeCell ref="B35:D35"/>
    <mergeCell ref="N31:P31"/>
    <mergeCell ref="N32:P32"/>
    <mergeCell ref="N33:P33"/>
    <mergeCell ref="N34:P34"/>
    <mergeCell ref="N35:P35"/>
    <mergeCell ref="E31:I31"/>
    <mergeCell ref="E32:I32"/>
    <mergeCell ref="E33:I33"/>
    <mergeCell ref="E34:I34"/>
    <mergeCell ref="J30:M30"/>
    <mergeCell ref="J31:M31"/>
    <mergeCell ref="J32:M32"/>
    <mergeCell ref="J33:M33"/>
    <mergeCell ref="J34:M34"/>
    <mergeCell ref="A1:Q3"/>
    <mergeCell ref="B5:D6"/>
    <mergeCell ref="H5:J6"/>
    <mergeCell ref="B29:P29"/>
    <mergeCell ref="E30:I30"/>
    <mergeCell ref="N30:P30"/>
  </mergeCells>
  <conditionalFormatting sqref="N31:P35">
    <cfRule type="containsText" dxfId="2" priority="1" operator="containsText" text="Warning">
      <formula>NOT(ISERROR(SEARCH("Warning",N31)))</formula>
    </cfRule>
    <cfRule type="containsText" dxfId="1" priority="2" operator="containsText" text="High Risk">
      <formula>NOT(ISERROR(SEARCH("High Risk",N31)))</formula>
    </cfRule>
    <cfRule type="containsText" dxfId="0" priority="3" operator="containsText" text="Critical">
      <formula>NOT(ISERROR(SEARCH("Critical",N31)))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6" sqref="C6"/>
    </sheetView>
  </sheetViews>
  <sheetFormatPr defaultRowHeight="14.5" x14ac:dyDescent="0.35"/>
  <cols>
    <col min="1" max="1" width="27.6328125" bestFit="1" customWidth="1"/>
    <col min="2" max="2" width="32.26953125" bestFit="1" customWidth="1"/>
    <col min="3" max="3" width="26.7265625" bestFit="1" customWidth="1"/>
  </cols>
  <sheetData>
    <row r="1" spans="1:4" x14ac:dyDescent="0.35">
      <c r="A1" s="1" t="s">
        <v>0</v>
      </c>
      <c r="B1" s="1" t="s">
        <v>1</v>
      </c>
    </row>
    <row r="2" spans="1:4" x14ac:dyDescent="0.35">
      <c r="A2" t="s">
        <v>2</v>
      </c>
      <c r="B2">
        <v>4.53</v>
      </c>
    </row>
    <row r="3" spans="1:4" x14ac:dyDescent="0.35">
      <c r="A3" t="s">
        <v>3</v>
      </c>
      <c r="B3">
        <v>41311</v>
      </c>
    </row>
    <row r="4" spans="1:4" x14ac:dyDescent="0.35">
      <c r="A4" t="s">
        <v>4</v>
      </c>
      <c r="B4" t="s">
        <v>5</v>
      </c>
      <c r="C4" t="str">
        <f>LEFT(B4, FIND("@", SUBSTITUTE(B4, ",", "@", LEN(B4) - LEN(SUBSTITUTE(B4, ",", "")))) - 1)</f>
        <v>TV and Video</v>
      </c>
      <c r="D4" t="str">
        <f>TRIM(MID(B4,FIND("@",SUBSTITUTE(B4,",","@",LEN(B4)-LEN(SUBSTITUTE(B4,",",""))))+1,LEN(B4)))</f>
        <v>4.89</v>
      </c>
    </row>
    <row r="5" spans="1:4" x14ac:dyDescent="0.35">
      <c r="A5" t="s">
        <v>6</v>
      </c>
      <c r="B5" t="s">
        <v>7</v>
      </c>
      <c r="C5" t="str">
        <f>LEFT(B5, FIND("@", SUBSTITUTE(B5, ",", "@", LEN(B5) - LEN(SUBSTITUTE(B5, ",", "")))) - 1)</f>
        <v>United Kingdom, Isle of Wight</v>
      </c>
      <c r="D5" t="str">
        <f>TRIM(MID(B5,FIND("@",SUBSTITUTE(B5,",","@",LEN(B5)-LEN(SUBSTITUTE(B5,",",""))))+1,LEN(B5)))</f>
        <v>13.00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C6" sqref="C6"/>
    </sheetView>
  </sheetViews>
  <sheetFormatPr defaultRowHeight="14.5" x14ac:dyDescent="0.35"/>
  <sheetData>
    <row r="1" spans="1:2" x14ac:dyDescent="0.35">
      <c r="A1" s="1" t="s">
        <v>8</v>
      </c>
      <c r="B1" s="1" t="s">
        <v>9</v>
      </c>
    </row>
    <row r="2" spans="1:2" x14ac:dyDescent="0.35">
      <c r="A2" t="s">
        <v>10</v>
      </c>
      <c r="B2">
        <v>4.8899999999999997</v>
      </c>
    </row>
    <row r="3" spans="1:2" x14ac:dyDescent="0.35">
      <c r="A3" t="s">
        <v>11</v>
      </c>
      <c r="B3">
        <v>4.7699999999999996</v>
      </c>
    </row>
    <row r="4" spans="1:2" x14ac:dyDescent="0.35">
      <c r="A4" t="s">
        <v>12</v>
      </c>
      <c r="B4">
        <v>4.59</v>
      </c>
    </row>
    <row r="5" spans="1:2" x14ac:dyDescent="0.35">
      <c r="A5" t="s">
        <v>13</v>
      </c>
      <c r="B5">
        <v>4.5599999999999996</v>
      </c>
    </row>
    <row r="6" spans="1:2" x14ac:dyDescent="0.35">
      <c r="A6" t="s">
        <v>14</v>
      </c>
      <c r="B6">
        <v>4.53</v>
      </c>
    </row>
    <row r="7" spans="1:2" x14ac:dyDescent="0.35">
      <c r="A7" t="s">
        <v>15</v>
      </c>
      <c r="B7">
        <v>4.45</v>
      </c>
    </row>
    <row r="8" spans="1:2" x14ac:dyDescent="0.35">
      <c r="A8" t="s">
        <v>16</v>
      </c>
      <c r="B8">
        <v>4.4400000000000004</v>
      </c>
    </row>
    <row r="9" spans="1:2" x14ac:dyDescent="0.35">
      <c r="A9" t="s">
        <v>17</v>
      </c>
      <c r="B9">
        <v>4.3899999999999997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6"/>
  <sheetViews>
    <sheetView workbookViewId="0">
      <selection activeCell="C6" sqref="C6"/>
    </sheetView>
  </sheetViews>
  <sheetFormatPr defaultRowHeight="14.5" x14ac:dyDescent="0.35"/>
  <cols>
    <col min="1" max="1" width="16.453125" bestFit="1" customWidth="1"/>
    <col min="2" max="2" width="25.1796875" bestFit="1" customWidth="1"/>
    <col min="3" max="3" width="25.6328125" bestFit="1" customWidth="1"/>
    <col min="5" max="5" width="14.7265625" bestFit="1" customWidth="1"/>
    <col min="6" max="6" width="19.36328125" bestFit="1" customWidth="1"/>
  </cols>
  <sheetData>
    <row r="1" spans="1:8" x14ac:dyDescent="0.35">
      <c r="A1" s="1" t="s">
        <v>18</v>
      </c>
      <c r="B1" s="1" t="s">
        <v>19</v>
      </c>
      <c r="C1" s="1" t="s">
        <v>9</v>
      </c>
    </row>
    <row r="2" spans="1:8" x14ac:dyDescent="0.35">
      <c r="A2" t="s">
        <v>20</v>
      </c>
      <c r="B2" t="s">
        <v>21</v>
      </c>
      <c r="C2">
        <v>13</v>
      </c>
      <c r="E2" t="str" cm="1">
        <f t="array" ref="E2">INDEX(A$2:A$386, ROW(A1))</f>
        <v>United Kingdom</v>
      </c>
      <c r="F2" t="str" cm="1">
        <f t="array" ref="F2">INDEX(B$2:B$386, ROW(A1))</f>
        <v>Isle of Wight</v>
      </c>
      <c r="G2" cm="1">
        <f t="array" ref="G2">INDEX(C$2:C$386, ROW(A1))</f>
        <v>13</v>
      </c>
      <c r="H2" t="str">
        <f>IF(C2&gt;=12, "Critical", IF(C2&gt;=10, "High Risk", "Warning"))</f>
        <v>Critical</v>
      </c>
    </row>
    <row r="3" spans="1:8" x14ac:dyDescent="0.35">
      <c r="A3" t="s">
        <v>20</v>
      </c>
      <c r="B3" t="s">
        <v>22</v>
      </c>
      <c r="C3">
        <v>11</v>
      </c>
      <c r="E3" t="str" cm="1">
        <f t="array" ref="E3">INDEX(A$2:A$386, ROW(A2))</f>
        <v>United Kingdom</v>
      </c>
      <c r="F3" t="str" cm="1">
        <f t="array" ref="F3">INDEX(B$2:B$386, ROW(A2))</f>
        <v>East Dorset</v>
      </c>
      <c r="G3" cm="1">
        <f t="array" ref="G3">INDEX(C$2:C$386, ROW(A2))</f>
        <v>11</v>
      </c>
      <c r="H3" t="str">
        <f t="shared" ref="H3:H6" si="0">IF(C3&gt;=12, "Critical", IF(C3&gt;=10, "High Risk", "Warning"))</f>
        <v>High Risk</v>
      </c>
    </row>
    <row r="4" spans="1:8" x14ac:dyDescent="0.35">
      <c r="A4" t="s">
        <v>20</v>
      </c>
      <c r="B4" t="s">
        <v>23</v>
      </c>
      <c r="C4">
        <v>10</v>
      </c>
      <c r="E4" t="str" cm="1">
        <f t="array" ref="E4">INDEX(A$2:A$386, ROW(A3))</f>
        <v>United Kingdom</v>
      </c>
      <c r="F4" t="str" cm="1">
        <f t="array" ref="F4">INDEX(B$2:B$386, ROW(A3))</f>
        <v>Reigate and Banstead</v>
      </c>
      <c r="G4" cm="1">
        <f t="array" ref="G4">INDEX(C$2:C$386, ROW(A3))</f>
        <v>10</v>
      </c>
      <c r="H4" t="str">
        <f t="shared" si="0"/>
        <v>High Risk</v>
      </c>
    </row>
    <row r="5" spans="1:8" x14ac:dyDescent="0.35">
      <c r="A5" t="s">
        <v>20</v>
      </c>
      <c r="B5" t="s">
        <v>24</v>
      </c>
      <c r="C5">
        <v>10</v>
      </c>
      <c r="E5" t="str" cm="1">
        <f t="array" ref="E5">INDEX(A$2:A$386, ROW(A4))</f>
        <v>United Kingdom</v>
      </c>
      <c r="F5" t="str" cm="1">
        <f t="array" ref="F5">INDEX(B$2:B$386, ROW(A4))</f>
        <v>Selby</v>
      </c>
      <c r="G5" cm="1">
        <f t="array" ref="G5">INDEX(C$2:C$386, ROW(A4))</f>
        <v>10</v>
      </c>
      <c r="H5" t="str">
        <f t="shared" si="0"/>
        <v>High Risk</v>
      </c>
    </row>
    <row r="6" spans="1:8" x14ac:dyDescent="0.35">
      <c r="A6" t="s">
        <v>25</v>
      </c>
      <c r="B6" t="s">
        <v>26</v>
      </c>
      <c r="C6">
        <v>9</v>
      </c>
      <c r="E6" t="str" cm="1">
        <f t="array" ref="E6">INDEX(A$2:A$386, ROW(A5))</f>
        <v>France</v>
      </c>
      <c r="F6" t="str" cm="1">
        <f t="array" ref="F6">INDEX(B$2:B$386, ROW(A5))</f>
        <v>Auvergne</v>
      </c>
      <c r="G6" cm="1">
        <f t="array" ref="G6">INDEX(C$2:C$386, ROW(A5))</f>
        <v>9</v>
      </c>
      <c r="H6" t="str">
        <f t="shared" si="0"/>
        <v>Warning</v>
      </c>
    </row>
    <row r="7" spans="1:8" x14ac:dyDescent="0.35">
      <c r="A7" t="s">
        <v>20</v>
      </c>
      <c r="B7" t="s">
        <v>27</v>
      </c>
      <c r="C7">
        <v>9</v>
      </c>
    </row>
    <row r="8" spans="1:8" x14ac:dyDescent="0.35">
      <c r="A8" t="s">
        <v>28</v>
      </c>
      <c r="B8" t="s">
        <v>29</v>
      </c>
      <c r="C8">
        <v>8.67</v>
      </c>
    </row>
    <row r="9" spans="1:8" x14ac:dyDescent="0.35">
      <c r="A9" t="s">
        <v>28</v>
      </c>
      <c r="B9" t="s">
        <v>30</v>
      </c>
      <c r="C9">
        <v>8</v>
      </c>
    </row>
    <row r="10" spans="1:8" x14ac:dyDescent="0.35">
      <c r="A10" t="s">
        <v>20</v>
      </c>
      <c r="B10" t="s">
        <v>31</v>
      </c>
      <c r="C10">
        <v>8</v>
      </c>
    </row>
    <row r="11" spans="1:8" x14ac:dyDescent="0.35">
      <c r="A11" t="s">
        <v>20</v>
      </c>
      <c r="B11" t="s">
        <v>32</v>
      </c>
      <c r="C11">
        <v>8</v>
      </c>
    </row>
    <row r="12" spans="1:8" x14ac:dyDescent="0.35">
      <c r="A12" t="s">
        <v>20</v>
      </c>
      <c r="B12" t="s">
        <v>33</v>
      </c>
      <c r="C12">
        <v>8</v>
      </c>
    </row>
    <row r="13" spans="1:8" x14ac:dyDescent="0.35">
      <c r="A13" t="s">
        <v>20</v>
      </c>
      <c r="B13" t="s">
        <v>34</v>
      </c>
      <c r="C13">
        <v>8</v>
      </c>
    </row>
    <row r="14" spans="1:8" x14ac:dyDescent="0.35">
      <c r="A14" t="s">
        <v>20</v>
      </c>
      <c r="B14" t="s">
        <v>35</v>
      </c>
      <c r="C14">
        <v>8</v>
      </c>
    </row>
    <row r="15" spans="1:8" x14ac:dyDescent="0.35">
      <c r="A15" t="s">
        <v>20</v>
      </c>
      <c r="B15" t="s">
        <v>36</v>
      </c>
      <c r="C15">
        <v>8</v>
      </c>
    </row>
    <row r="16" spans="1:8" x14ac:dyDescent="0.35">
      <c r="A16" t="s">
        <v>20</v>
      </c>
      <c r="B16" t="s">
        <v>37</v>
      </c>
      <c r="C16">
        <v>8</v>
      </c>
    </row>
    <row r="17" spans="1:3" x14ac:dyDescent="0.35">
      <c r="A17" t="s">
        <v>28</v>
      </c>
      <c r="B17" t="s">
        <v>38</v>
      </c>
      <c r="C17">
        <v>8</v>
      </c>
    </row>
    <row r="18" spans="1:3" x14ac:dyDescent="0.35">
      <c r="A18" t="s">
        <v>20</v>
      </c>
      <c r="B18" t="s">
        <v>39</v>
      </c>
      <c r="C18">
        <v>7.8</v>
      </c>
    </row>
    <row r="19" spans="1:3" x14ac:dyDescent="0.35">
      <c r="A19" t="s">
        <v>28</v>
      </c>
      <c r="B19" t="s">
        <v>40</v>
      </c>
      <c r="C19">
        <v>7.62</v>
      </c>
    </row>
    <row r="20" spans="1:3" x14ac:dyDescent="0.35">
      <c r="A20" t="s">
        <v>20</v>
      </c>
      <c r="B20" t="s">
        <v>41</v>
      </c>
      <c r="C20">
        <v>7.29</v>
      </c>
    </row>
    <row r="21" spans="1:3" x14ac:dyDescent="0.35">
      <c r="A21" t="s">
        <v>20</v>
      </c>
      <c r="B21" t="s">
        <v>42</v>
      </c>
      <c r="C21">
        <v>7.2</v>
      </c>
    </row>
    <row r="22" spans="1:3" x14ac:dyDescent="0.35">
      <c r="A22" t="s">
        <v>43</v>
      </c>
      <c r="B22" t="s">
        <v>44</v>
      </c>
      <c r="C22">
        <v>7.11</v>
      </c>
    </row>
    <row r="23" spans="1:3" x14ac:dyDescent="0.35">
      <c r="A23" t="s">
        <v>20</v>
      </c>
      <c r="B23" t="s">
        <v>45</v>
      </c>
      <c r="C23">
        <v>7</v>
      </c>
    </row>
    <row r="24" spans="1:3" x14ac:dyDescent="0.35">
      <c r="A24" t="s">
        <v>20</v>
      </c>
      <c r="B24" t="s">
        <v>46</v>
      </c>
      <c r="C24">
        <v>7</v>
      </c>
    </row>
    <row r="25" spans="1:3" x14ac:dyDescent="0.35">
      <c r="A25" t="s">
        <v>28</v>
      </c>
      <c r="B25" t="s">
        <v>47</v>
      </c>
      <c r="C25">
        <v>7</v>
      </c>
    </row>
    <row r="26" spans="1:3" x14ac:dyDescent="0.35">
      <c r="A26" t="s">
        <v>20</v>
      </c>
      <c r="B26" t="s">
        <v>48</v>
      </c>
      <c r="C26">
        <v>7</v>
      </c>
    </row>
    <row r="27" spans="1:3" x14ac:dyDescent="0.35">
      <c r="A27" t="s">
        <v>20</v>
      </c>
      <c r="B27" t="s">
        <v>49</v>
      </c>
      <c r="C27">
        <v>7</v>
      </c>
    </row>
    <row r="28" spans="1:3" x14ac:dyDescent="0.35">
      <c r="A28" t="s">
        <v>20</v>
      </c>
      <c r="B28" t="s">
        <v>50</v>
      </c>
      <c r="C28">
        <v>7</v>
      </c>
    </row>
    <row r="29" spans="1:3" x14ac:dyDescent="0.35">
      <c r="A29" t="s">
        <v>20</v>
      </c>
      <c r="B29" t="s">
        <v>51</v>
      </c>
      <c r="C29">
        <v>7</v>
      </c>
    </row>
    <row r="30" spans="1:3" x14ac:dyDescent="0.35">
      <c r="A30" t="s">
        <v>20</v>
      </c>
      <c r="B30" t="s">
        <v>52</v>
      </c>
      <c r="C30">
        <v>7</v>
      </c>
    </row>
    <row r="31" spans="1:3" x14ac:dyDescent="0.35">
      <c r="A31" t="s">
        <v>28</v>
      </c>
      <c r="B31" t="s">
        <v>53</v>
      </c>
      <c r="C31">
        <v>6.8</v>
      </c>
    </row>
    <row r="32" spans="1:3" x14ac:dyDescent="0.35">
      <c r="A32" t="s">
        <v>28</v>
      </c>
      <c r="B32" t="s">
        <v>54</v>
      </c>
      <c r="C32">
        <v>6.75</v>
      </c>
    </row>
    <row r="33" spans="1:3" x14ac:dyDescent="0.35">
      <c r="A33" t="s">
        <v>20</v>
      </c>
      <c r="B33" t="s">
        <v>55</v>
      </c>
      <c r="C33">
        <v>6.71</v>
      </c>
    </row>
    <row r="34" spans="1:3" x14ac:dyDescent="0.35">
      <c r="A34" t="s">
        <v>20</v>
      </c>
      <c r="B34" t="s">
        <v>56</v>
      </c>
      <c r="C34">
        <v>6.62</v>
      </c>
    </row>
    <row r="35" spans="1:3" x14ac:dyDescent="0.35">
      <c r="A35" t="s">
        <v>20</v>
      </c>
      <c r="B35" t="s">
        <v>57</v>
      </c>
      <c r="C35">
        <v>6.5</v>
      </c>
    </row>
    <row r="36" spans="1:3" x14ac:dyDescent="0.35">
      <c r="A36" t="s">
        <v>20</v>
      </c>
      <c r="B36" t="s">
        <v>58</v>
      </c>
      <c r="C36">
        <v>6.5</v>
      </c>
    </row>
    <row r="37" spans="1:3" x14ac:dyDescent="0.35">
      <c r="A37" t="s">
        <v>28</v>
      </c>
      <c r="B37" t="s">
        <v>59</v>
      </c>
      <c r="C37">
        <v>6.5</v>
      </c>
    </row>
    <row r="38" spans="1:3" x14ac:dyDescent="0.35">
      <c r="A38" t="s">
        <v>20</v>
      </c>
      <c r="B38" t="s">
        <v>60</v>
      </c>
      <c r="C38">
        <v>6.4</v>
      </c>
    </row>
    <row r="39" spans="1:3" x14ac:dyDescent="0.35">
      <c r="A39" t="s">
        <v>25</v>
      </c>
      <c r="B39" t="s">
        <v>61</v>
      </c>
      <c r="C39">
        <v>6.33</v>
      </c>
    </row>
    <row r="40" spans="1:3" x14ac:dyDescent="0.35">
      <c r="A40" t="s">
        <v>20</v>
      </c>
      <c r="B40" t="s">
        <v>62</v>
      </c>
      <c r="C40">
        <v>6.31</v>
      </c>
    </row>
    <row r="41" spans="1:3" x14ac:dyDescent="0.35">
      <c r="A41" t="s">
        <v>20</v>
      </c>
      <c r="B41" t="s">
        <v>63</v>
      </c>
      <c r="C41">
        <v>6.25</v>
      </c>
    </row>
    <row r="42" spans="1:3" x14ac:dyDescent="0.35">
      <c r="A42" t="s">
        <v>28</v>
      </c>
      <c r="B42" t="s">
        <v>64</v>
      </c>
      <c r="C42">
        <v>6.25</v>
      </c>
    </row>
    <row r="43" spans="1:3" x14ac:dyDescent="0.35">
      <c r="A43" t="s">
        <v>20</v>
      </c>
      <c r="B43" t="s">
        <v>65</v>
      </c>
      <c r="C43">
        <v>6.18</v>
      </c>
    </row>
    <row r="44" spans="1:3" x14ac:dyDescent="0.35">
      <c r="A44" t="s">
        <v>66</v>
      </c>
      <c r="B44" t="s">
        <v>67</v>
      </c>
      <c r="C44">
        <v>6.14</v>
      </c>
    </row>
    <row r="45" spans="1:3" x14ac:dyDescent="0.35">
      <c r="A45" t="s">
        <v>20</v>
      </c>
      <c r="B45" t="s">
        <v>68</v>
      </c>
      <c r="C45">
        <v>6</v>
      </c>
    </row>
    <row r="46" spans="1:3" x14ac:dyDescent="0.35">
      <c r="A46" t="s">
        <v>28</v>
      </c>
      <c r="B46" t="s">
        <v>69</v>
      </c>
      <c r="C46">
        <v>6</v>
      </c>
    </row>
    <row r="47" spans="1:3" x14ac:dyDescent="0.35">
      <c r="A47" t="s">
        <v>20</v>
      </c>
      <c r="B47" t="s">
        <v>70</v>
      </c>
      <c r="C47">
        <v>6</v>
      </c>
    </row>
    <row r="48" spans="1:3" x14ac:dyDescent="0.35">
      <c r="A48" t="s">
        <v>20</v>
      </c>
      <c r="B48" t="s">
        <v>71</v>
      </c>
      <c r="C48">
        <v>6</v>
      </c>
    </row>
    <row r="49" spans="1:3" x14ac:dyDescent="0.35">
      <c r="A49" t="s">
        <v>25</v>
      </c>
      <c r="B49" t="s">
        <v>72</v>
      </c>
      <c r="C49">
        <v>6</v>
      </c>
    </row>
    <row r="50" spans="1:3" x14ac:dyDescent="0.35">
      <c r="A50" t="s">
        <v>20</v>
      </c>
      <c r="B50" t="s">
        <v>73</v>
      </c>
      <c r="C50">
        <v>6</v>
      </c>
    </row>
    <row r="51" spans="1:3" x14ac:dyDescent="0.35">
      <c r="A51" t="s">
        <v>20</v>
      </c>
      <c r="B51" t="s">
        <v>74</v>
      </c>
      <c r="C51">
        <v>6</v>
      </c>
    </row>
    <row r="52" spans="1:3" x14ac:dyDescent="0.35">
      <c r="A52" t="s">
        <v>20</v>
      </c>
      <c r="B52" t="s">
        <v>75</v>
      </c>
      <c r="C52">
        <v>6</v>
      </c>
    </row>
    <row r="53" spans="1:3" x14ac:dyDescent="0.35">
      <c r="A53" t="s">
        <v>20</v>
      </c>
      <c r="B53" t="s">
        <v>76</v>
      </c>
      <c r="C53">
        <v>6</v>
      </c>
    </row>
    <row r="54" spans="1:3" x14ac:dyDescent="0.35">
      <c r="A54" t="s">
        <v>20</v>
      </c>
      <c r="B54" t="s">
        <v>77</v>
      </c>
      <c r="C54">
        <v>6</v>
      </c>
    </row>
    <row r="55" spans="1:3" x14ac:dyDescent="0.35">
      <c r="A55" t="s">
        <v>20</v>
      </c>
      <c r="B55" t="s">
        <v>78</v>
      </c>
      <c r="C55">
        <v>6</v>
      </c>
    </row>
    <row r="56" spans="1:3" x14ac:dyDescent="0.35">
      <c r="A56" t="s">
        <v>20</v>
      </c>
      <c r="B56" t="s">
        <v>79</v>
      </c>
      <c r="C56">
        <v>6</v>
      </c>
    </row>
    <row r="57" spans="1:3" x14ac:dyDescent="0.35">
      <c r="A57" t="s">
        <v>66</v>
      </c>
      <c r="B57" t="s">
        <v>80</v>
      </c>
      <c r="C57">
        <v>5.88</v>
      </c>
    </row>
    <row r="58" spans="1:3" x14ac:dyDescent="0.35">
      <c r="A58" t="s">
        <v>20</v>
      </c>
      <c r="B58" t="s">
        <v>81</v>
      </c>
      <c r="C58">
        <v>5.77</v>
      </c>
    </row>
    <row r="59" spans="1:3" x14ac:dyDescent="0.35">
      <c r="A59" t="s">
        <v>82</v>
      </c>
      <c r="B59" t="s">
        <v>83</v>
      </c>
      <c r="C59">
        <v>5.77</v>
      </c>
    </row>
    <row r="60" spans="1:3" x14ac:dyDescent="0.35">
      <c r="A60" t="s">
        <v>82</v>
      </c>
      <c r="B60" t="s">
        <v>84</v>
      </c>
      <c r="C60">
        <v>5.72</v>
      </c>
    </row>
    <row r="61" spans="1:3" x14ac:dyDescent="0.35">
      <c r="A61" t="s">
        <v>28</v>
      </c>
      <c r="B61" t="s">
        <v>85</v>
      </c>
      <c r="C61">
        <v>5.67</v>
      </c>
    </row>
    <row r="62" spans="1:3" x14ac:dyDescent="0.35">
      <c r="A62" t="s">
        <v>25</v>
      </c>
      <c r="B62" t="s">
        <v>86</v>
      </c>
      <c r="C62">
        <v>5.67</v>
      </c>
    </row>
    <row r="63" spans="1:3" x14ac:dyDescent="0.35">
      <c r="A63" t="s">
        <v>20</v>
      </c>
      <c r="B63" t="s">
        <v>87</v>
      </c>
      <c r="C63">
        <v>5.67</v>
      </c>
    </row>
    <row r="64" spans="1:3" x14ac:dyDescent="0.35">
      <c r="A64" t="s">
        <v>28</v>
      </c>
      <c r="B64" t="s">
        <v>88</v>
      </c>
      <c r="C64">
        <v>5.67</v>
      </c>
    </row>
    <row r="65" spans="1:3" x14ac:dyDescent="0.35">
      <c r="A65" t="s">
        <v>28</v>
      </c>
      <c r="B65" t="s">
        <v>89</v>
      </c>
      <c r="C65">
        <v>5.62</v>
      </c>
    </row>
    <row r="66" spans="1:3" x14ac:dyDescent="0.35">
      <c r="A66" t="s">
        <v>28</v>
      </c>
      <c r="B66" t="s">
        <v>90</v>
      </c>
      <c r="C66">
        <v>5.57</v>
      </c>
    </row>
    <row r="67" spans="1:3" x14ac:dyDescent="0.35">
      <c r="A67" t="s">
        <v>20</v>
      </c>
      <c r="B67" t="s">
        <v>91</v>
      </c>
      <c r="C67">
        <v>5.57</v>
      </c>
    </row>
    <row r="68" spans="1:3" x14ac:dyDescent="0.35">
      <c r="A68" t="s">
        <v>20</v>
      </c>
      <c r="B68" t="s">
        <v>92</v>
      </c>
      <c r="C68">
        <v>5.57</v>
      </c>
    </row>
    <row r="69" spans="1:3" x14ac:dyDescent="0.35">
      <c r="A69" t="s">
        <v>93</v>
      </c>
      <c r="B69" t="s">
        <v>94</v>
      </c>
      <c r="C69">
        <v>5.57</v>
      </c>
    </row>
    <row r="70" spans="1:3" x14ac:dyDescent="0.35">
      <c r="A70" t="s">
        <v>25</v>
      </c>
      <c r="B70" t="s">
        <v>95</v>
      </c>
      <c r="C70">
        <v>5.56</v>
      </c>
    </row>
    <row r="71" spans="1:3" x14ac:dyDescent="0.35">
      <c r="A71" t="s">
        <v>20</v>
      </c>
      <c r="B71" t="s">
        <v>96</v>
      </c>
      <c r="C71">
        <v>5.5</v>
      </c>
    </row>
    <row r="72" spans="1:3" x14ac:dyDescent="0.35">
      <c r="A72" t="s">
        <v>20</v>
      </c>
      <c r="B72" t="s">
        <v>97</v>
      </c>
      <c r="C72">
        <v>5.5</v>
      </c>
    </row>
    <row r="73" spans="1:3" x14ac:dyDescent="0.35">
      <c r="A73" t="s">
        <v>20</v>
      </c>
      <c r="B73" t="s">
        <v>98</v>
      </c>
      <c r="C73">
        <v>5.4</v>
      </c>
    </row>
    <row r="74" spans="1:3" x14ac:dyDescent="0.35">
      <c r="A74" t="s">
        <v>20</v>
      </c>
      <c r="B74" t="s">
        <v>99</v>
      </c>
      <c r="C74">
        <v>5.39</v>
      </c>
    </row>
    <row r="75" spans="1:3" x14ac:dyDescent="0.35">
      <c r="A75" t="s">
        <v>28</v>
      </c>
      <c r="B75" t="s">
        <v>100</v>
      </c>
      <c r="C75">
        <v>5.38</v>
      </c>
    </row>
    <row r="76" spans="1:3" x14ac:dyDescent="0.35">
      <c r="A76" t="s">
        <v>28</v>
      </c>
      <c r="B76" t="s">
        <v>101</v>
      </c>
      <c r="C76">
        <v>5.38</v>
      </c>
    </row>
    <row r="77" spans="1:3" x14ac:dyDescent="0.35">
      <c r="A77" t="s">
        <v>20</v>
      </c>
      <c r="B77" t="s">
        <v>102</v>
      </c>
      <c r="C77">
        <v>5.36</v>
      </c>
    </row>
    <row r="78" spans="1:3" x14ac:dyDescent="0.35">
      <c r="A78" t="s">
        <v>82</v>
      </c>
      <c r="B78" t="s">
        <v>103</v>
      </c>
      <c r="C78">
        <v>5.36</v>
      </c>
    </row>
    <row r="79" spans="1:3" x14ac:dyDescent="0.35">
      <c r="A79" t="s">
        <v>20</v>
      </c>
      <c r="B79" t="s">
        <v>104</v>
      </c>
      <c r="C79">
        <v>5.33</v>
      </c>
    </row>
    <row r="80" spans="1:3" x14ac:dyDescent="0.35">
      <c r="A80" t="s">
        <v>28</v>
      </c>
      <c r="B80" t="s">
        <v>105</v>
      </c>
      <c r="C80">
        <v>5.33</v>
      </c>
    </row>
    <row r="81" spans="1:3" x14ac:dyDescent="0.35">
      <c r="A81" t="s">
        <v>20</v>
      </c>
      <c r="B81" t="s">
        <v>106</v>
      </c>
      <c r="C81">
        <v>5.33</v>
      </c>
    </row>
    <row r="82" spans="1:3" x14ac:dyDescent="0.35">
      <c r="A82" t="s">
        <v>20</v>
      </c>
      <c r="B82" t="s">
        <v>107</v>
      </c>
      <c r="C82">
        <v>5.33</v>
      </c>
    </row>
    <row r="83" spans="1:3" x14ac:dyDescent="0.35">
      <c r="A83" t="s">
        <v>66</v>
      </c>
      <c r="B83" t="s">
        <v>108</v>
      </c>
      <c r="C83">
        <v>5.25</v>
      </c>
    </row>
    <row r="84" spans="1:3" x14ac:dyDescent="0.35">
      <c r="A84" t="s">
        <v>20</v>
      </c>
      <c r="B84" t="s">
        <v>109</v>
      </c>
      <c r="C84">
        <v>5.25</v>
      </c>
    </row>
    <row r="85" spans="1:3" x14ac:dyDescent="0.35">
      <c r="A85" t="s">
        <v>20</v>
      </c>
      <c r="B85" t="s">
        <v>110</v>
      </c>
      <c r="C85">
        <v>5.22</v>
      </c>
    </row>
    <row r="86" spans="1:3" x14ac:dyDescent="0.35">
      <c r="A86" t="s">
        <v>20</v>
      </c>
      <c r="B86" t="s">
        <v>111</v>
      </c>
      <c r="C86">
        <v>5.2</v>
      </c>
    </row>
    <row r="87" spans="1:3" x14ac:dyDescent="0.35">
      <c r="A87" t="s">
        <v>20</v>
      </c>
      <c r="B87" t="s">
        <v>112</v>
      </c>
      <c r="C87">
        <v>5.2</v>
      </c>
    </row>
    <row r="88" spans="1:3" x14ac:dyDescent="0.35">
      <c r="A88" t="s">
        <v>43</v>
      </c>
      <c r="B88" t="s">
        <v>113</v>
      </c>
      <c r="C88">
        <v>5.18</v>
      </c>
    </row>
    <row r="89" spans="1:3" x14ac:dyDescent="0.35">
      <c r="A89" t="s">
        <v>82</v>
      </c>
      <c r="B89" t="s">
        <v>114</v>
      </c>
      <c r="C89">
        <v>5.17</v>
      </c>
    </row>
    <row r="90" spans="1:3" x14ac:dyDescent="0.35">
      <c r="A90" t="s">
        <v>20</v>
      </c>
      <c r="B90" t="s">
        <v>115</v>
      </c>
      <c r="C90">
        <v>5.17</v>
      </c>
    </row>
    <row r="91" spans="1:3" x14ac:dyDescent="0.35">
      <c r="A91" t="s">
        <v>93</v>
      </c>
      <c r="B91" t="s">
        <v>116</v>
      </c>
      <c r="C91">
        <v>5.16</v>
      </c>
    </row>
    <row r="92" spans="1:3" x14ac:dyDescent="0.35">
      <c r="A92" t="s">
        <v>82</v>
      </c>
      <c r="B92" t="s">
        <v>117</v>
      </c>
      <c r="C92">
        <v>5.16</v>
      </c>
    </row>
    <row r="93" spans="1:3" x14ac:dyDescent="0.35">
      <c r="A93" t="s">
        <v>20</v>
      </c>
      <c r="B93" t="s">
        <v>118</v>
      </c>
      <c r="C93">
        <v>5.12</v>
      </c>
    </row>
    <row r="94" spans="1:3" x14ac:dyDescent="0.35">
      <c r="A94" t="s">
        <v>82</v>
      </c>
      <c r="B94" t="s">
        <v>119</v>
      </c>
      <c r="C94">
        <v>5.1100000000000003</v>
      </c>
    </row>
    <row r="95" spans="1:3" x14ac:dyDescent="0.35">
      <c r="A95" t="s">
        <v>28</v>
      </c>
      <c r="B95" t="s">
        <v>120</v>
      </c>
      <c r="C95">
        <v>5.1100000000000003</v>
      </c>
    </row>
    <row r="96" spans="1:3" x14ac:dyDescent="0.35">
      <c r="A96" t="s">
        <v>28</v>
      </c>
      <c r="B96" t="s">
        <v>121</v>
      </c>
      <c r="C96">
        <v>5.0999999999999996</v>
      </c>
    </row>
    <row r="97" spans="1:3" x14ac:dyDescent="0.35">
      <c r="A97" t="s">
        <v>93</v>
      </c>
      <c r="B97" t="s">
        <v>122</v>
      </c>
      <c r="C97">
        <v>5.09</v>
      </c>
    </row>
    <row r="98" spans="1:3" x14ac:dyDescent="0.35">
      <c r="A98" t="s">
        <v>43</v>
      </c>
      <c r="B98" t="s">
        <v>123</v>
      </c>
      <c r="C98">
        <v>5.07</v>
      </c>
    </row>
    <row r="99" spans="1:3" x14ac:dyDescent="0.35">
      <c r="A99" t="s">
        <v>66</v>
      </c>
      <c r="B99" t="s">
        <v>124</v>
      </c>
      <c r="C99">
        <v>5.0599999999999996</v>
      </c>
    </row>
    <row r="100" spans="1:3" x14ac:dyDescent="0.35">
      <c r="A100" t="s">
        <v>43</v>
      </c>
      <c r="B100" t="s">
        <v>125</v>
      </c>
      <c r="C100">
        <v>5.05</v>
      </c>
    </row>
    <row r="101" spans="1:3" x14ac:dyDescent="0.35">
      <c r="A101" t="s">
        <v>25</v>
      </c>
      <c r="B101" t="s">
        <v>126</v>
      </c>
      <c r="C101">
        <v>5.05</v>
      </c>
    </row>
    <row r="102" spans="1:3" x14ac:dyDescent="0.35">
      <c r="A102" t="s">
        <v>20</v>
      </c>
      <c r="B102" t="s">
        <v>127</v>
      </c>
      <c r="C102">
        <v>5</v>
      </c>
    </row>
    <row r="103" spans="1:3" x14ac:dyDescent="0.35">
      <c r="A103" t="s">
        <v>20</v>
      </c>
      <c r="B103" t="s">
        <v>128</v>
      </c>
      <c r="C103">
        <v>5</v>
      </c>
    </row>
    <row r="104" spans="1:3" x14ac:dyDescent="0.35">
      <c r="A104" t="s">
        <v>28</v>
      </c>
      <c r="B104" t="s">
        <v>129</v>
      </c>
      <c r="C104">
        <v>5</v>
      </c>
    </row>
    <row r="105" spans="1:3" x14ac:dyDescent="0.35">
      <c r="A105" t="s">
        <v>20</v>
      </c>
      <c r="B105" t="s">
        <v>130</v>
      </c>
      <c r="C105">
        <v>5</v>
      </c>
    </row>
    <row r="106" spans="1:3" x14ac:dyDescent="0.35">
      <c r="A106" t="s">
        <v>20</v>
      </c>
      <c r="B106" t="s">
        <v>131</v>
      </c>
      <c r="C106">
        <v>5</v>
      </c>
    </row>
    <row r="107" spans="1:3" x14ac:dyDescent="0.35">
      <c r="A107" t="s">
        <v>20</v>
      </c>
      <c r="B107" t="s">
        <v>132</v>
      </c>
      <c r="C107">
        <v>5</v>
      </c>
    </row>
    <row r="108" spans="1:3" x14ac:dyDescent="0.35">
      <c r="A108" t="s">
        <v>20</v>
      </c>
      <c r="B108" t="s">
        <v>133</v>
      </c>
      <c r="C108">
        <v>5</v>
      </c>
    </row>
    <row r="109" spans="1:3" x14ac:dyDescent="0.35">
      <c r="A109" t="s">
        <v>28</v>
      </c>
      <c r="B109" t="s">
        <v>134</v>
      </c>
      <c r="C109">
        <v>5</v>
      </c>
    </row>
    <row r="110" spans="1:3" x14ac:dyDescent="0.35">
      <c r="A110" t="s">
        <v>135</v>
      </c>
      <c r="B110" t="s">
        <v>136</v>
      </c>
      <c r="C110">
        <v>5</v>
      </c>
    </row>
    <row r="111" spans="1:3" x14ac:dyDescent="0.35">
      <c r="A111" t="s">
        <v>20</v>
      </c>
      <c r="B111" t="s">
        <v>137</v>
      </c>
      <c r="C111">
        <v>5</v>
      </c>
    </row>
    <row r="112" spans="1:3" x14ac:dyDescent="0.35">
      <c r="A112" t="s">
        <v>20</v>
      </c>
      <c r="B112" t="s">
        <v>138</v>
      </c>
      <c r="C112">
        <v>5</v>
      </c>
    </row>
    <row r="113" spans="1:3" x14ac:dyDescent="0.35">
      <c r="A113" t="s">
        <v>20</v>
      </c>
      <c r="B113" t="s">
        <v>139</v>
      </c>
      <c r="C113">
        <v>5</v>
      </c>
    </row>
    <row r="114" spans="1:3" x14ac:dyDescent="0.35">
      <c r="A114" t="s">
        <v>93</v>
      </c>
      <c r="B114" t="s">
        <v>140</v>
      </c>
      <c r="C114">
        <v>5</v>
      </c>
    </row>
    <row r="115" spans="1:3" x14ac:dyDescent="0.35">
      <c r="A115" t="s">
        <v>28</v>
      </c>
      <c r="B115" t="s">
        <v>141</v>
      </c>
      <c r="C115">
        <v>5</v>
      </c>
    </row>
    <row r="116" spans="1:3" x14ac:dyDescent="0.35">
      <c r="A116" t="s">
        <v>28</v>
      </c>
      <c r="B116" t="s">
        <v>142</v>
      </c>
      <c r="C116">
        <v>5</v>
      </c>
    </row>
    <row r="117" spans="1:3" x14ac:dyDescent="0.35">
      <c r="A117" t="s">
        <v>28</v>
      </c>
      <c r="B117" t="s">
        <v>143</v>
      </c>
      <c r="C117">
        <v>5</v>
      </c>
    </row>
    <row r="118" spans="1:3" x14ac:dyDescent="0.35">
      <c r="A118" t="s">
        <v>20</v>
      </c>
      <c r="B118" t="s">
        <v>144</v>
      </c>
      <c r="C118">
        <v>5</v>
      </c>
    </row>
    <row r="119" spans="1:3" x14ac:dyDescent="0.35">
      <c r="A119" t="s">
        <v>28</v>
      </c>
      <c r="B119" t="s">
        <v>145</v>
      </c>
      <c r="C119">
        <v>5</v>
      </c>
    </row>
    <row r="120" spans="1:3" x14ac:dyDescent="0.35">
      <c r="A120" t="s">
        <v>20</v>
      </c>
      <c r="B120" t="s">
        <v>146</v>
      </c>
      <c r="C120">
        <v>5</v>
      </c>
    </row>
    <row r="121" spans="1:3" x14ac:dyDescent="0.35">
      <c r="A121" t="s">
        <v>20</v>
      </c>
      <c r="B121" t="s">
        <v>147</v>
      </c>
      <c r="C121">
        <v>5</v>
      </c>
    </row>
    <row r="122" spans="1:3" x14ac:dyDescent="0.35">
      <c r="A122" t="s">
        <v>25</v>
      </c>
      <c r="B122" t="s">
        <v>148</v>
      </c>
      <c r="C122">
        <v>5</v>
      </c>
    </row>
    <row r="123" spans="1:3" x14ac:dyDescent="0.35">
      <c r="A123" t="s">
        <v>28</v>
      </c>
      <c r="B123" t="s">
        <v>149</v>
      </c>
      <c r="C123">
        <v>5</v>
      </c>
    </row>
    <row r="124" spans="1:3" x14ac:dyDescent="0.35">
      <c r="A124" t="s">
        <v>20</v>
      </c>
      <c r="B124" t="s">
        <v>150</v>
      </c>
      <c r="C124">
        <v>5</v>
      </c>
    </row>
    <row r="125" spans="1:3" x14ac:dyDescent="0.35">
      <c r="A125" t="s">
        <v>66</v>
      </c>
      <c r="B125" t="s">
        <v>151</v>
      </c>
      <c r="C125">
        <v>5</v>
      </c>
    </row>
    <row r="126" spans="1:3" x14ac:dyDescent="0.35">
      <c r="A126" t="s">
        <v>28</v>
      </c>
      <c r="B126" t="s">
        <v>152</v>
      </c>
      <c r="C126">
        <v>5</v>
      </c>
    </row>
    <row r="127" spans="1:3" x14ac:dyDescent="0.35">
      <c r="A127" t="s">
        <v>20</v>
      </c>
      <c r="B127" t="s">
        <v>153</v>
      </c>
      <c r="C127">
        <v>5</v>
      </c>
    </row>
    <row r="128" spans="1:3" x14ac:dyDescent="0.35">
      <c r="A128" t="s">
        <v>28</v>
      </c>
      <c r="B128" t="s">
        <v>154</v>
      </c>
      <c r="C128">
        <v>5</v>
      </c>
    </row>
    <row r="129" spans="1:3" x14ac:dyDescent="0.35">
      <c r="A129" t="s">
        <v>28</v>
      </c>
      <c r="B129" t="s">
        <v>155</v>
      </c>
      <c r="C129">
        <v>5</v>
      </c>
    </row>
    <row r="130" spans="1:3" x14ac:dyDescent="0.35">
      <c r="A130" t="s">
        <v>25</v>
      </c>
      <c r="B130" t="s">
        <v>156</v>
      </c>
      <c r="C130">
        <v>5</v>
      </c>
    </row>
    <row r="131" spans="1:3" x14ac:dyDescent="0.35">
      <c r="A131" t="s">
        <v>28</v>
      </c>
      <c r="B131" t="s">
        <v>157</v>
      </c>
      <c r="C131">
        <v>5</v>
      </c>
    </row>
    <row r="132" spans="1:3" x14ac:dyDescent="0.35">
      <c r="A132" t="s">
        <v>25</v>
      </c>
      <c r="B132" t="s">
        <v>158</v>
      </c>
      <c r="C132">
        <v>5</v>
      </c>
    </row>
    <row r="133" spans="1:3" x14ac:dyDescent="0.35">
      <c r="A133" t="s">
        <v>28</v>
      </c>
      <c r="B133" t="s">
        <v>159</v>
      </c>
      <c r="C133">
        <v>5</v>
      </c>
    </row>
    <row r="134" spans="1:3" x14ac:dyDescent="0.35">
      <c r="A134" t="s">
        <v>28</v>
      </c>
      <c r="B134" t="s">
        <v>160</v>
      </c>
      <c r="C134">
        <v>5</v>
      </c>
    </row>
    <row r="135" spans="1:3" x14ac:dyDescent="0.35">
      <c r="A135" t="s">
        <v>20</v>
      </c>
      <c r="B135" t="s">
        <v>161</v>
      </c>
      <c r="C135">
        <v>5</v>
      </c>
    </row>
    <row r="136" spans="1:3" x14ac:dyDescent="0.35">
      <c r="A136" t="s">
        <v>20</v>
      </c>
      <c r="B136" t="s">
        <v>162</v>
      </c>
      <c r="C136">
        <v>5</v>
      </c>
    </row>
    <row r="137" spans="1:3" x14ac:dyDescent="0.35">
      <c r="A137" t="s">
        <v>20</v>
      </c>
      <c r="B137" t="s">
        <v>163</v>
      </c>
      <c r="C137">
        <v>5</v>
      </c>
    </row>
    <row r="138" spans="1:3" x14ac:dyDescent="0.35">
      <c r="A138" t="s">
        <v>20</v>
      </c>
      <c r="B138" t="s">
        <v>164</v>
      </c>
      <c r="C138">
        <v>5</v>
      </c>
    </row>
    <row r="139" spans="1:3" x14ac:dyDescent="0.35">
      <c r="A139" t="s">
        <v>28</v>
      </c>
      <c r="B139" t="s">
        <v>165</v>
      </c>
      <c r="C139">
        <v>5</v>
      </c>
    </row>
    <row r="140" spans="1:3" x14ac:dyDescent="0.35">
      <c r="A140" t="s">
        <v>20</v>
      </c>
      <c r="B140" t="s">
        <v>166</v>
      </c>
      <c r="C140">
        <v>5</v>
      </c>
    </row>
    <row r="141" spans="1:3" x14ac:dyDescent="0.35">
      <c r="A141" t="s">
        <v>20</v>
      </c>
      <c r="B141" t="s">
        <v>167</v>
      </c>
      <c r="C141">
        <v>5</v>
      </c>
    </row>
    <row r="142" spans="1:3" x14ac:dyDescent="0.35">
      <c r="A142" t="s">
        <v>20</v>
      </c>
      <c r="B142" t="s">
        <v>168</v>
      </c>
      <c r="C142">
        <v>5</v>
      </c>
    </row>
    <row r="143" spans="1:3" x14ac:dyDescent="0.35">
      <c r="A143" t="s">
        <v>28</v>
      </c>
      <c r="B143" t="s">
        <v>169</v>
      </c>
      <c r="C143">
        <v>5</v>
      </c>
    </row>
    <row r="144" spans="1:3" x14ac:dyDescent="0.35">
      <c r="A144" t="s">
        <v>28</v>
      </c>
      <c r="B144" t="s">
        <v>170</v>
      </c>
      <c r="C144">
        <v>5</v>
      </c>
    </row>
    <row r="145" spans="1:3" x14ac:dyDescent="0.35">
      <c r="A145" t="s">
        <v>93</v>
      </c>
      <c r="B145" t="s">
        <v>171</v>
      </c>
      <c r="C145">
        <v>4.9800000000000004</v>
      </c>
    </row>
    <row r="146" spans="1:3" x14ac:dyDescent="0.35">
      <c r="A146" t="s">
        <v>20</v>
      </c>
      <c r="B146" t="s">
        <v>172</v>
      </c>
      <c r="C146">
        <v>4.9400000000000004</v>
      </c>
    </row>
    <row r="147" spans="1:3" x14ac:dyDescent="0.35">
      <c r="A147" t="s">
        <v>28</v>
      </c>
      <c r="B147" t="s">
        <v>173</v>
      </c>
      <c r="C147">
        <v>4.93</v>
      </c>
    </row>
    <row r="148" spans="1:3" x14ac:dyDescent="0.35">
      <c r="A148" t="s">
        <v>20</v>
      </c>
      <c r="B148" t="s">
        <v>174</v>
      </c>
      <c r="C148">
        <v>4.91</v>
      </c>
    </row>
    <row r="149" spans="1:3" x14ac:dyDescent="0.35">
      <c r="A149" t="s">
        <v>28</v>
      </c>
      <c r="B149" t="s">
        <v>175</v>
      </c>
      <c r="C149">
        <v>4.88</v>
      </c>
    </row>
    <row r="150" spans="1:3" x14ac:dyDescent="0.35">
      <c r="A150" t="s">
        <v>82</v>
      </c>
      <c r="B150" t="s">
        <v>176</v>
      </c>
      <c r="C150">
        <v>4.88</v>
      </c>
    </row>
    <row r="151" spans="1:3" x14ac:dyDescent="0.35">
      <c r="A151" t="s">
        <v>20</v>
      </c>
      <c r="B151" t="s">
        <v>177</v>
      </c>
      <c r="C151">
        <v>4.8600000000000003</v>
      </c>
    </row>
    <row r="152" spans="1:3" x14ac:dyDescent="0.35">
      <c r="A152" t="s">
        <v>20</v>
      </c>
      <c r="B152" t="s">
        <v>178</v>
      </c>
      <c r="C152">
        <v>4.84</v>
      </c>
    </row>
    <row r="153" spans="1:3" x14ac:dyDescent="0.35">
      <c r="A153" t="s">
        <v>82</v>
      </c>
      <c r="B153" t="s">
        <v>179</v>
      </c>
      <c r="C153">
        <v>4.8099999999999996</v>
      </c>
    </row>
    <row r="154" spans="1:3" x14ac:dyDescent="0.35">
      <c r="A154" t="s">
        <v>82</v>
      </c>
      <c r="B154" t="s">
        <v>180</v>
      </c>
      <c r="C154">
        <v>4.8</v>
      </c>
    </row>
    <row r="155" spans="1:3" x14ac:dyDescent="0.35">
      <c r="A155" t="s">
        <v>28</v>
      </c>
      <c r="B155" t="s">
        <v>181</v>
      </c>
      <c r="C155">
        <v>4.8</v>
      </c>
    </row>
    <row r="156" spans="1:3" x14ac:dyDescent="0.35">
      <c r="A156" t="s">
        <v>82</v>
      </c>
      <c r="B156" t="s">
        <v>182</v>
      </c>
      <c r="C156">
        <v>4.8</v>
      </c>
    </row>
    <row r="157" spans="1:3" x14ac:dyDescent="0.35">
      <c r="A157" t="s">
        <v>82</v>
      </c>
      <c r="B157" t="s">
        <v>183</v>
      </c>
      <c r="C157">
        <v>4.79</v>
      </c>
    </row>
    <row r="158" spans="1:3" x14ac:dyDescent="0.35">
      <c r="A158" t="s">
        <v>82</v>
      </c>
      <c r="B158" t="s">
        <v>184</v>
      </c>
      <c r="C158">
        <v>4.79</v>
      </c>
    </row>
    <row r="159" spans="1:3" x14ac:dyDescent="0.35">
      <c r="A159" t="s">
        <v>82</v>
      </c>
      <c r="B159" t="s">
        <v>185</v>
      </c>
      <c r="C159">
        <v>4.78</v>
      </c>
    </row>
    <row r="160" spans="1:3" x14ac:dyDescent="0.35">
      <c r="A160" t="s">
        <v>20</v>
      </c>
      <c r="B160" t="s">
        <v>186</v>
      </c>
      <c r="C160">
        <v>4.78</v>
      </c>
    </row>
    <row r="161" spans="1:3" x14ac:dyDescent="0.35">
      <c r="A161" t="s">
        <v>25</v>
      </c>
      <c r="B161" t="s">
        <v>187</v>
      </c>
      <c r="C161">
        <v>4.75</v>
      </c>
    </row>
    <row r="162" spans="1:3" x14ac:dyDescent="0.35">
      <c r="A162" t="s">
        <v>28</v>
      </c>
      <c r="B162" t="s">
        <v>188</v>
      </c>
      <c r="C162">
        <v>4.75</v>
      </c>
    </row>
    <row r="163" spans="1:3" x14ac:dyDescent="0.35">
      <c r="A163" t="s">
        <v>20</v>
      </c>
      <c r="B163" t="s">
        <v>189</v>
      </c>
      <c r="C163">
        <v>4.75</v>
      </c>
    </row>
    <row r="164" spans="1:3" x14ac:dyDescent="0.35">
      <c r="A164" t="s">
        <v>20</v>
      </c>
      <c r="B164" t="s">
        <v>190</v>
      </c>
      <c r="C164">
        <v>4.75</v>
      </c>
    </row>
    <row r="165" spans="1:3" x14ac:dyDescent="0.35">
      <c r="A165" t="s">
        <v>20</v>
      </c>
      <c r="B165" t="s">
        <v>191</v>
      </c>
      <c r="C165">
        <v>4.74</v>
      </c>
    </row>
    <row r="166" spans="1:3" x14ac:dyDescent="0.35">
      <c r="A166" t="s">
        <v>66</v>
      </c>
      <c r="B166" t="s">
        <v>192</v>
      </c>
      <c r="C166">
        <v>4.7300000000000004</v>
      </c>
    </row>
    <row r="167" spans="1:3" x14ac:dyDescent="0.35">
      <c r="A167" t="s">
        <v>82</v>
      </c>
      <c r="B167" t="s">
        <v>193</v>
      </c>
      <c r="C167">
        <v>4.7300000000000004</v>
      </c>
    </row>
    <row r="168" spans="1:3" x14ac:dyDescent="0.35">
      <c r="A168" t="s">
        <v>82</v>
      </c>
      <c r="B168" t="s">
        <v>194</v>
      </c>
      <c r="C168">
        <v>4.7300000000000004</v>
      </c>
    </row>
    <row r="169" spans="1:3" x14ac:dyDescent="0.35">
      <c r="A169" t="s">
        <v>20</v>
      </c>
      <c r="B169" t="s">
        <v>195</v>
      </c>
      <c r="C169">
        <v>4.71</v>
      </c>
    </row>
    <row r="170" spans="1:3" x14ac:dyDescent="0.35">
      <c r="A170" t="s">
        <v>82</v>
      </c>
      <c r="B170" t="s">
        <v>196</v>
      </c>
      <c r="C170">
        <v>4.71</v>
      </c>
    </row>
    <row r="171" spans="1:3" x14ac:dyDescent="0.35">
      <c r="A171" t="s">
        <v>82</v>
      </c>
      <c r="B171" t="s">
        <v>197</v>
      </c>
      <c r="C171">
        <v>4.71</v>
      </c>
    </row>
    <row r="172" spans="1:3" x14ac:dyDescent="0.35">
      <c r="A172" t="s">
        <v>20</v>
      </c>
      <c r="B172" t="s">
        <v>198</v>
      </c>
      <c r="C172">
        <v>4.67</v>
      </c>
    </row>
    <row r="173" spans="1:3" x14ac:dyDescent="0.35">
      <c r="A173" t="s">
        <v>20</v>
      </c>
      <c r="B173" t="s">
        <v>199</v>
      </c>
      <c r="C173">
        <v>4.67</v>
      </c>
    </row>
    <row r="174" spans="1:3" x14ac:dyDescent="0.35">
      <c r="A174" t="s">
        <v>20</v>
      </c>
      <c r="B174" t="s">
        <v>200</v>
      </c>
      <c r="C174">
        <v>4.67</v>
      </c>
    </row>
    <row r="175" spans="1:3" x14ac:dyDescent="0.35">
      <c r="A175" t="s">
        <v>20</v>
      </c>
      <c r="B175" t="s">
        <v>201</v>
      </c>
      <c r="C175">
        <v>4.67</v>
      </c>
    </row>
    <row r="176" spans="1:3" x14ac:dyDescent="0.35">
      <c r="A176" t="s">
        <v>28</v>
      </c>
      <c r="B176" t="s">
        <v>202</v>
      </c>
      <c r="C176">
        <v>4.67</v>
      </c>
    </row>
    <row r="177" spans="1:3" x14ac:dyDescent="0.35">
      <c r="A177" t="s">
        <v>20</v>
      </c>
      <c r="B177" t="s">
        <v>203</v>
      </c>
      <c r="C177">
        <v>4.67</v>
      </c>
    </row>
    <row r="178" spans="1:3" x14ac:dyDescent="0.35">
      <c r="A178" t="s">
        <v>66</v>
      </c>
      <c r="B178" t="s">
        <v>204</v>
      </c>
      <c r="C178">
        <v>4.67</v>
      </c>
    </row>
    <row r="179" spans="1:3" x14ac:dyDescent="0.35">
      <c r="A179" t="s">
        <v>82</v>
      </c>
      <c r="B179" t="s">
        <v>205</v>
      </c>
      <c r="C179">
        <v>4.66</v>
      </c>
    </row>
    <row r="180" spans="1:3" x14ac:dyDescent="0.35">
      <c r="A180" t="s">
        <v>82</v>
      </c>
      <c r="B180" t="s">
        <v>206</v>
      </c>
      <c r="C180">
        <v>4.63</v>
      </c>
    </row>
    <row r="181" spans="1:3" x14ac:dyDescent="0.35">
      <c r="A181" t="s">
        <v>82</v>
      </c>
      <c r="B181" t="s">
        <v>207</v>
      </c>
      <c r="C181">
        <v>4.63</v>
      </c>
    </row>
    <row r="182" spans="1:3" x14ac:dyDescent="0.35">
      <c r="A182" t="s">
        <v>20</v>
      </c>
      <c r="B182" t="s">
        <v>208</v>
      </c>
      <c r="C182">
        <v>4.6100000000000003</v>
      </c>
    </row>
    <row r="183" spans="1:3" x14ac:dyDescent="0.35">
      <c r="A183" t="s">
        <v>28</v>
      </c>
      <c r="B183" t="s">
        <v>209</v>
      </c>
      <c r="C183">
        <v>4.5999999999999996</v>
      </c>
    </row>
    <row r="184" spans="1:3" x14ac:dyDescent="0.35">
      <c r="A184" t="s">
        <v>28</v>
      </c>
      <c r="B184" t="s">
        <v>210</v>
      </c>
      <c r="C184">
        <v>4.5999999999999996</v>
      </c>
    </row>
    <row r="185" spans="1:3" x14ac:dyDescent="0.35">
      <c r="A185" t="s">
        <v>25</v>
      </c>
      <c r="B185" t="s">
        <v>211</v>
      </c>
      <c r="C185">
        <v>4.5999999999999996</v>
      </c>
    </row>
    <row r="186" spans="1:3" x14ac:dyDescent="0.35">
      <c r="A186" t="s">
        <v>28</v>
      </c>
      <c r="B186" t="s">
        <v>212</v>
      </c>
      <c r="C186">
        <v>4.5999999999999996</v>
      </c>
    </row>
    <row r="187" spans="1:3" x14ac:dyDescent="0.35">
      <c r="A187" t="s">
        <v>43</v>
      </c>
      <c r="B187" t="s">
        <v>213</v>
      </c>
      <c r="C187">
        <v>4.58</v>
      </c>
    </row>
    <row r="188" spans="1:3" x14ac:dyDescent="0.35">
      <c r="A188" t="s">
        <v>82</v>
      </c>
      <c r="B188" t="s">
        <v>214</v>
      </c>
      <c r="C188">
        <v>4.58</v>
      </c>
    </row>
    <row r="189" spans="1:3" x14ac:dyDescent="0.35">
      <c r="A189" t="s">
        <v>82</v>
      </c>
      <c r="B189" t="s">
        <v>215</v>
      </c>
      <c r="C189">
        <v>4.57</v>
      </c>
    </row>
    <row r="190" spans="1:3" x14ac:dyDescent="0.35">
      <c r="A190" t="s">
        <v>20</v>
      </c>
      <c r="B190" t="s">
        <v>216</v>
      </c>
      <c r="C190">
        <v>4.57</v>
      </c>
    </row>
    <row r="191" spans="1:3" x14ac:dyDescent="0.35">
      <c r="A191" t="s">
        <v>43</v>
      </c>
      <c r="B191" t="s">
        <v>217</v>
      </c>
      <c r="C191">
        <v>4.57</v>
      </c>
    </row>
    <row r="192" spans="1:3" x14ac:dyDescent="0.35">
      <c r="A192" t="s">
        <v>20</v>
      </c>
      <c r="B192" t="s">
        <v>218</v>
      </c>
      <c r="C192">
        <v>4.57</v>
      </c>
    </row>
    <row r="193" spans="1:3" x14ac:dyDescent="0.35">
      <c r="A193" t="s">
        <v>93</v>
      </c>
      <c r="B193" t="s">
        <v>219</v>
      </c>
      <c r="C193">
        <v>4.5599999999999996</v>
      </c>
    </row>
    <row r="194" spans="1:3" x14ac:dyDescent="0.35">
      <c r="A194" t="s">
        <v>20</v>
      </c>
      <c r="B194" t="s">
        <v>220</v>
      </c>
      <c r="C194">
        <v>4.5599999999999996</v>
      </c>
    </row>
    <row r="195" spans="1:3" x14ac:dyDescent="0.35">
      <c r="A195" t="s">
        <v>43</v>
      </c>
      <c r="B195" t="s">
        <v>221</v>
      </c>
      <c r="C195">
        <v>4.55</v>
      </c>
    </row>
    <row r="196" spans="1:3" x14ac:dyDescent="0.35">
      <c r="A196" t="s">
        <v>82</v>
      </c>
      <c r="B196" t="s">
        <v>222</v>
      </c>
      <c r="C196">
        <v>4.54</v>
      </c>
    </row>
    <row r="197" spans="1:3" x14ac:dyDescent="0.35">
      <c r="A197" t="s">
        <v>82</v>
      </c>
      <c r="B197" t="s">
        <v>223</v>
      </c>
      <c r="C197">
        <v>4.53</v>
      </c>
    </row>
    <row r="198" spans="1:3" x14ac:dyDescent="0.35">
      <c r="A198" t="s">
        <v>82</v>
      </c>
      <c r="B198" t="s">
        <v>224</v>
      </c>
      <c r="C198">
        <v>4.53</v>
      </c>
    </row>
    <row r="199" spans="1:3" x14ac:dyDescent="0.35">
      <c r="A199" t="s">
        <v>82</v>
      </c>
      <c r="B199" t="s">
        <v>225</v>
      </c>
      <c r="C199">
        <v>4.51</v>
      </c>
    </row>
    <row r="200" spans="1:3" x14ac:dyDescent="0.35">
      <c r="A200" t="s">
        <v>28</v>
      </c>
      <c r="B200" t="s">
        <v>226</v>
      </c>
      <c r="C200">
        <v>4.5</v>
      </c>
    </row>
    <row r="201" spans="1:3" x14ac:dyDescent="0.35">
      <c r="A201" t="s">
        <v>28</v>
      </c>
      <c r="B201" t="s">
        <v>227</v>
      </c>
      <c r="C201">
        <v>4.5</v>
      </c>
    </row>
    <row r="202" spans="1:3" x14ac:dyDescent="0.35">
      <c r="A202" t="s">
        <v>66</v>
      </c>
      <c r="B202" t="s">
        <v>228</v>
      </c>
      <c r="C202">
        <v>4.5</v>
      </c>
    </row>
    <row r="203" spans="1:3" x14ac:dyDescent="0.35">
      <c r="A203" t="s">
        <v>20</v>
      </c>
      <c r="B203" t="s">
        <v>229</v>
      </c>
      <c r="C203">
        <v>4.5</v>
      </c>
    </row>
    <row r="204" spans="1:3" x14ac:dyDescent="0.35">
      <c r="A204" t="s">
        <v>20</v>
      </c>
      <c r="B204" t="s">
        <v>230</v>
      </c>
      <c r="C204">
        <v>4.5</v>
      </c>
    </row>
    <row r="205" spans="1:3" x14ac:dyDescent="0.35">
      <c r="A205" t="s">
        <v>20</v>
      </c>
      <c r="B205" t="s">
        <v>231</v>
      </c>
      <c r="C205">
        <v>4.5</v>
      </c>
    </row>
    <row r="206" spans="1:3" x14ac:dyDescent="0.35">
      <c r="A206" t="s">
        <v>20</v>
      </c>
      <c r="B206" t="s">
        <v>232</v>
      </c>
      <c r="C206">
        <v>4.5</v>
      </c>
    </row>
    <row r="207" spans="1:3" x14ac:dyDescent="0.35">
      <c r="A207" t="s">
        <v>20</v>
      </c>
      <c r="B207" t="s">
        <v>233</v>
      </c>
      <c r="C207">
        <v>4.5</v>
      </c>
    </row>
    <row r="208" spans="1:3" x14ac:dyDescent="0.35">
      <c r="A208" t="s">
        <v>20</v>
      </c>
      <c r="B208" t="s">
        <v>234</v>
      </c>
      <c r="C208">
        <v>4.5</v>
      </c>
    </row>
    <row r="209" spans="1:3" x14ac:dyDescent="0.35">
      <c r="A209" t="s">
        <v>82</v>
      </c>
      <c r="B209" t="s">
        <v>235</v>
      </c>
      <c r="C209">
        <v>4.49</v>
      </c>
    </row>
    <row r="210" spans="1:3" x14ac:dyDescent="0.35">
      <c r="A210" t="s">
        <v>135</v>
      </c>
      <c r="B210" t="s">
        <v>236</v>
      </c>
      <c r="C210">
        <v>4.4800000000000004</v>
      </c>
    </row>
    <row r="211" spans="1:3" x14ac:dyDescent="0.35">
      <c r="A211" t="s">
        <v>82</v>
      </c>
      <c r="B211" t="s">
        <v>237</v>
      </c>
      <c r="C211">
        <v>4.4800000000000004</v>
      </c>
    </row>
    <row r="212" spans="1:3" x14ac:dyDescent="0.35">
      <c r="A212" t="s">
        <v>82</v>
      </c>
      <c r="B212" t="s">
        <v>238</v>
      </c>
      <c r="C212">
        <v>4.4800000000000004</v>
      </c>
    </row>
    <row r="213" spans="1:3" x14ac:dyDescent="0.35">
      <c r="A213" t="s">
        <v>135</v>
      </c>
      <c r="B213" t="s">
        <v>239</v>
      </c>
      <c r="C213">
        <v>4.47</v>
      </c>
    </row>
    <row r="214" spans="1:3" x14ac:dyDescent="0.35">
      <c r="A214" t="s">
        <v>20</v>
      </c>
      <c r="B214" t="s">
        <v>240</v>
      </c>
      <c r="C214">
        <v>4.47</v>
      </c>
    </row>
    <row r="215" spans="1:3" x14ac:dyDescent="0.35">
      <c r="A215" t="s">
        <v>82</v>
      </c>
      <c r="B215" t="s">
        <v>241</v>
      </c>
      <c r="C215">
        <v>4.47</v>
      </c>
    </row>
    <row r="216" spans="1:3" x14ac:dyDescent="0.35">
      <c r="A216" t="s">
        <v>66</v>
      </c>
      <c r="B216" t="s">
        <v>242</v>
      </c>
      <c r="C216">
        <v>4.46</v>
      </c>
    </row>
    <row r="217" spans="1:3" x14ac:dyDescent="0.35">
      <c r="A217" t="s">
        <v>82</v>
      </c>
      <c r="B217" t="s">
        <v>243</v>
      </c>
      <c r="C217">
        <v>4.45</v>
      </c>
    </row>
    <row r="218" spans="1:3" x14ac:dyDescent="0.35">
      <c r="A218" t="s">
        <v>20</v>
      </c>
      <c r="B218" t="s">
        <v>244</v>
      </c>
      <c r="C218">
        <v>4.4400000000000004</v>
      </c>
    </row>
    <row r="219" spans="1:3" x14ac:dyDescent="0.35">
      <c r="A219" t="s">
        <v>93</v>
      </c>
      <c r="B219" t="s">
        <v>245</v>
      </c>
      <c r="C219">
        <v>4.4400000000000004</v>
      </c>
    </row>
    <row r="220" spans="1:3" x14ac:dyDescent="0.35">
      <c r="A220" t="s">
        <v>28</v>
      </c>
      <c r="B220" t="s">
        <v>246</v>
      </c>
      <c r="C220">
        <v>4.4400000000000004</v>
      </c>
    </row>
    <row r="221" spans="1:3" x14ac:dyDescent="0.35">
      <c r="A221" t="s">
        <v>43</v>
      </c>
      <c r="B221" t="s">
        <v>247</v>
      </c>
      <c r="C221">
        <v>4.4400000000000004</v>
      </c>
    </row>
    <row r="222" spans="1:3" x14ac:dyDescent="0.35">
      <c r="A222" t="s">
        <v>20</v>
      </c>
      <c r="B222" t="s">
        <v>248</v>
      </c>
      <c r="C222">
        <v>4.4400000000000004</v>
      </c>
    </row>
    <row r="223" spans="1:3" x14ac:dyDescent="0.35">
      <c r="A223" t="s">
        <v>82</v>
      </c>
      <c r="B223" t="s">
        <v>249</v>
      </c>
      <c r="C223">
        <v>4.43</v>
      </c>
    </row>
    <row r="224" spans="1:3" x14ac:dyDescent="0.35">
      <c r="A224" t="s">
        <v>28</v>
      </c>
      <c r="B224" t="s">
        <v>250</v>
      </c>
      <c r="C224">
        <v>4.43</v>
      </c>
    </row>
    <row r="225" spans="1:3" x14ac:dyDescent="0.35">
      <c r="A225" t="s">
        <v>93</v>
      </c>
      <c r="B225" t="s">
        <v>251</v>
      </c>
      <c r="C225">
        <v>4.41</v>
      </c>
    </row>
    <row r="226" spans="1:3" x14ac:dyDescent="0.35">
      <c r="A226" t="s">
        <v>82</v>
      </c>
      <c r="B226" t="s">
        <v>252</v>
      </c>
      <c r="C226">
        <v>4.41</v>
      </c>
    </row>
    <row r="227" spans="1:3" x14ac:dyDescent="0.35">
      <c r="A227" t="s">
        <v>82</v>
      </c>
      <c r="B227" t="s">
        <v>253</v>
      </c>
      <c r="C227">
        <v>4.41</v>
      </c>
    </row>
    <row r="228" spans="1:3" x14ac:dyDescent="0.35">
      <c r="A228" t="s">
        <v>82</v>
      </c>
      <c r="B228" t="s">
        <v>254</v>
      </c>
      <c r="C228">
        <v>4.37</v>
      </c>
    </row>
    <row r="229" spans="1:3" x14ac:dyDescent="0.35">
      <c r="A229" t="s">
        <v>28</v>
      </c>
      <c r="B229" t="s">
        <v>255</v>
      </c>
      <c r="C229">
        <v>4.3600000000000003</v>
      </c>
    </row>
    <row r="230" spans="1:3" x14ac:dyDescent="0.35">
      <c r="A230" t="s">
        <v>135</v>
      </c>
      <c r="B230" t="s">
        <v>256</v>
      </c>
      <c r="C230">
        <v>4.3600000000000003</v>
      </c>
    </row>
    <row r="231" spans="1:3" x14ac:dyDescent="0.35">
      <c r="A231" t="s">
        <v>82</v>
      </c>
      <c r="B231" t="s">
        <v>257</v>
      </c>
      <c r="C231">
        <v>4.3600000000000003</v>
      </c>
    </row>
    <row r="232" spans="1:3" x14ac:dyDescent="0.35">
      <c r="A232" t="s">
        <v>82</v>
      </c>
      <c r="B232" t="s">
        <v>258</v>
      </c>
      <c r="C232">
        <v>4.3499999999999996</v>
      </c>
    </row>
    <row r="233" spans="1:3" x14ac:dyDescent="0.35">
      <c r="A233" t="s">
        <v>82</v>
      </c>
      <c r="B233" t="s">
        <v>259</v>
      </c>
      <c r="C233">
        <v>4.34</v>
      </c>
    </row>
    <row r="234" spans="1:3" x14ac:dyDescent="0.35">
      <c r="A234" t="s">
        <v>66</v>
      </c>
      <c r="B234" t="s">
        <v>260</v>
      </c>
      <c r="C234">
        <v>4.33</v>
      </c>
    </row>
    <row r="235" spans="1:3" x14ac:dyDescent="0.35">
      <c r="A235" t="s">
        <v>25</v>
      </c>
      <c r="B235" t="s">
        <v>261</v>
      </c>
      <c r="C235">
        <v>4.32</v>
      </c>
    </row>
    <row r="236" spans="1:3" x14ac:dyDescent="0.35">
      <c r="A236" t="s">
        <v>43</v>
      </c>
      <c r="B236" t="s">
        <v>262</v>
      </c>
      <c r="C236">
        <v>4.29</v>
      </c>
    </row>
    <row r="237" spans="1:3" x14ac:dyDescent="0.35">
      <c r="A237" t="s">
        <v>20</v>
      </c>
      <c r="B237" t="s">
        <v>263</v>
      </c>
      <c r="C237">
        <v>4.2699999999999996</v>
      </c>
    </row>
    <row r="238" spans="1:3" x14ac:dyDescent="0.35">
      <c r="A238" t="s">
        <v>82</v>
      </c>
      <c r="B238" t="s">
        <v>264</v>
      </c>
      <c r="C238">
        <v>4.24</v>
      </c>
    </row>
    <row r="239" spans="1:3" x14ac:dyDescent="0.35">
      <c r="A239" t="s">
        <v>25</v>
      </c>
      <c r="B239" t="s">
        <v>265</v>
      </c>
      <c r="C239">
        <v>4.22</v>
      </c>
    </row>
    <row r="240" spans="1:3" x14ac:dyDescent="0.35">
      <c r="A240" t="s">
        <v>93</v>
      </c>
      <c r="B240" t="s">
        <v>266</v>
      </c>
      <c r="C240">
        <v>4.22</v>
      </c>
    </row>
    <row r="241" spans="1:3" x14ac:dyDescent="0.35">
      <c r="A241" t="s">
        <v>135</v>
      </c>
      <c r="B241" t="s">
        <v>267</v>
      </c>
      <c r="C241">
        <v>4.2</v>
      </c>
    </row>
    <row r="242" spans="1:3" x14ac:dyDescent="0.35">
      <c r="A242" t="s">
        <v>82</v>
      </c>
      <c r="B242" t="s">
        <v>268</v>
      </c>
      <c r="C242">
        <v>4.2</v>
      </c>
    </row>
    <row r="243" spans="1:3" x14ac:dyDescent="0.35">
      <c r="A243" t="s">
        <v>20</v>
      </c>
      <c r="B243" t="s">
        <v>269</v>
      </c>
      <c r="C243">
        <v>4.2</v>
      </c>
    </row>
    <row r="244" spans="1:3" x14ac:dyDescent="0.35">
      <c r="A244" t="s">
        <v>82</v>
      </c>
      <c r="B244" t="s">
        <v>270</v>
      </c>
      <c r="C244">
        <v>4.1900000000000004</v>
      </c>
    </row>
    <row r="245" spans="1:3" x14ac:dyDescent="0.35">
      <c r="A245" t="s">
        <v>20</v>
      </c>
      <c r="B245" t="s">
        <v>271</v>
      </c>
      <c r="C245">
        <v>4.18</v>
      </c>
    </row>
    <row r="246" spans="1:3" x14ac:dyDescent="0.35">
      <c r="A246" t="s">
        <v>28</v>
      </c>
      <c r="B246" t="s">
        <v>272</v>
      </c>
      <c r="C246">
        <v>4.17</v>
      </c>
    </row>
    <row r="247" spans="1:3" x14ac:dyDescent="0.35">
      <c r="A247" t="s">
        <v>20</v>
      </c>
      <c r="B247" t="s">
        <v>273</v>
      </c>
      <c r="C247">
        <v>4.17</v>
      </c>
    </row>
    <row r="248" spans="1:3" x14ac:dyDescent="0.35">
      <c r="A248" t="s">
        <v>93</v>
      </c>
      <c r="B248" t="s">
        <v>274</v>
      </c>
      <c r="C248">
        <v>4.17</v>
      </c>
    </row>
    <row r="249" spans="1:3" x14ac:dyDescent="0.35">
      <c r="A249" t="s">
        <v>20</v>
      </c>
      <c r="B249" t="s">
        <v>275</v>
      </c>
      <c r="C249">
        <v>4.1500000000000004</v>
      </c>
    </row>
    <row r="250" spans="1:3" x14ac:dyDescent="0.35">
      <c r="A250" t="s">
        <v>20</v>
      </c>
      <c r="B250" t="s">
        <v>276</v>
      </c>
      <c r="C250">
        <v>4.1500000000000004</v>
      </c>
    </row>
    <row r="251" spans="1:3" x14ac:dyDescent="0.35">
      <c r="A251" t="s">
        <v>20</v>
      </c>
      <c r="B251" t="s">
        <v>277</v>
      </c>
      <c r="C251">
        <v>4.1500000000000004</v>
      </c>
    </row>
    <row r="252" spans="1:3" x14ac:dyDescent="0.35">
      <c r="A252" t="s">
        <v>20</v>
      </c>
      <c r="B252" t="s">
        <v>278</v>
      </c>
      <c r="C252">
        <v>4.1399999999999997</v>
      </c>
    </row>
    <row r="253" spans="1:3" x14ac:dyDescent="0.35">
      <c r="A253" t="s">
        <v>20</v>
      </c>
      <c r="B253" t="s">
        <v>279</v>
      </c>
      <c r="C253">
        <v>4.12</v>
      </c>
    </row>
    <row r="254" spans="1:3" x14ac:dyDescent="0.35">
      <c r="A254" t="s">
        <v>82</v>
      </c>
      <c r="B254" t="s">
        <v>280</v>
      </c>
      <c r="C254">
        <v>4.12</v>
      </c>
    </row>
    <row r="255" spans="1:3" x14ac:dyDescent="0.35">
      <c r="A255" t="s">
        <v>20</v>
      </c>
      <c r="B255" t="s">
        <v>281</v>
      </c>
      <c r="C255">
        <v>4.12</v>
      </c>
    </row>
    <row r="256" spans="1:3" x14ac:dyDescent="0.35">
      <c r="A256" t="s">
        <v>20</v>
      </c>
      <c r="B256" t="s">
        <v>282</v>
      </c>
      <c r="C256">
        <v>4.12</v>
      </c>
    </row>
    <row r="257" spans="1:3" x14ac:dyDescent="0.35">
      <c r="A257" t="s">
        <v>25</v>
      </c>
      <c r="B257" t="s">
        <v>283</v>
      </c>
      <c r="C257">
        <v>4.1100000000000003</v>
      </c>
    </row>
    <row r="258" spans="1:3" x14ac:dyDescent="0.35">
      <c r="A258" t="s">
        <v>93</v>
      </c>
      <c r="B258" t="s">
        <v>284</v>
      </c>
      <c r="C258">
        <v>4.0999999999999996</v>
      </c>
    </row>
    <row r="259" spans="1:3" x14ac:dyDescent="0.35">
      <c r="A259" t="s">
        <v>82</v>
      </c>
      <c r="B259" t="s">
        <v>285</v>
      </c>
      <c r="C259">
        <v>4.09</v>
      </c>
    </row>
    <row r="260" spans="1:3" x14ac:dyDescent="0.35">
      <c r="A260" t="s">
        <v>93</v>
      </c>
      <c r="B260" t="s">
        <v>286</v>
      </c>
      <c r="C260">
        <v>4.09</v>
      </c>
    </row>
    <row r="261" spans="1:3" x14ac:dyDescent="0.35">
      <c r="A261" t="s">
        <v>20</v>
      </c>
      <c r="B261" t="s">
        <v>287</v>
      </c>
      <c r="C261">
        <v>4.08</v>
      </c>
    </row>
    <row r="262" spans="1:3" x14ac:dyDescent="0.35">
      <c r="A262" t="s">
        <v>25</v>
      </c>
      <c r="B262" t="s">
        <v>288</v>
      </c>
      <c r="C262">
        <v>4.08</v>
      </c>
    </row>
    <row r="263" spans="1:3" x14ac:dyDescent="0.35">
      <c r="A263" t="s">
        <v>66</v>
      </c>
      <c r="B263" t="s">
        <v>289</v>
      </c>
      <c r="C263">
        <v>4</v>
      </c>
    </row>
    <row r="264" spans="1:3" x14ac:dyDescent="0.35">
      <c r="A264" t="s">
        <v>20</v>
      </c>
      <c r="B264" t="s">
        <v>290</v>
      </c>
      <c r="C264">
        <v>4</v>
      </c>
    </row>
    <row r="265" spans="1:3" x14ac:dyDescent="0.35">
      <c r="A265" t="s">
        <v>20</v>
      </c>
      <c r="B265" t="s">
        <v>291</v>
      </c>
      <c r="C265">
        <v>4</v>
      </c>
    </row>
    <row r="266" spans="1:3" x14ac:dyDescent="0.35">
      <c r="A266" t="s">
        <v>28</v>
      </c>
      <c r="B266" t="s">
        <v>292</v>
      </c>
      <c r="C266">
        <v>4</v>
      </c>
    </row>
    <row r="267" spans="1:3" x14ac:dyDescent="0.35">
      <c r="A267" t="s">
        <v>25</v>
      </c>
      <c r="B267" t="s">
        <v>293</v>
      </c>
      <c r="C267">
        <v>4</v>
      </c>
    </row>
    <row r="268" spans="1:3" x14ac:dyDescent="0.35">
      <c r="A268" t="s">
        <v>20</v>
      </c>
      <c r="B268" t="s">
        <v>294</v>
      </c>
      <c r="C268">
        <v>4</v>
      </c>
    </row>
    <row r="269" spans="1:3" x14ac:dyDescent="0.35">
      <c r="A269" t="s">
        <v>28</v>
      </c>
      <c r="B269" t="s">
        <v>295</v>
      </c>
      <c r="C269">
        <v>4</v>
      </c>
    </row>
    <row r="270" spans="1:3" x14ac:dyDescent="0.35">
      <c r="A270" t="s">
        <v>20</v>
      </c>
      <c r="B270" t="s">
        <v>296</v>
      </c>
      <c r="C270">
        <v>4</v>
      </c>
    </row>
    <row r="271" spans="1:3" x14ac:dyDescent="0.35">
      <c r="A271" t="s">
        <v>28</v>
      </c>
      <c r="B271" t="s">
        <v>297</v>
      </c>
      <c r="C271">
        <v>4</v>
      </c>
    </row>
    <row r="272" spans="1:3" x14ac:dyDescent="0.35">
      <c r="A272" t="s">
        <v>20</v>
      </c>
      <c r="B272" t="s">
        <v>298</v>
      </c>
      <c r="C272">
        <v>4</v>
      </c>
    </row>
    <row r="273" spans="1:3" x14ac:dyDescent="0.35">
      <c r="A273" t="s">
        <v>20</v>
      </c>
      <c r="B273" t="s">
        <v>299</v>
      </c>
      <c r="C273">
        <v>4</v>
      </c>
    </row>
    <row r="274" spans="1:3" x14ac:dyDescent="0.35">
      <c r="A274" t="s">
        <v>20</v>
      </c>
      <c r="B274" t="s">
        <v>300</v>
      </c>
      <c r="C274">
        <v>4</v>
      </c>
    </row>
    <row r="275" spans="1:3" x14ac:dyDescent="0.35">
      <c r="A275" t="s">
        <v>20</v>
      </c>
      <c r="B275" t="s">
        <v>301</v>
      </c>
      <c r="C275">
        <v>4</v>
      </c>
    </row>
    <row r="276" spans="1:3" x14ac:dyDescent="0.35">
      <c r="A276" t="s">
        <v>20</v>
      </c>
      <c r="B276" t="s">
        <v>302</v>
      </c>
      <c r="C276">
        <v>4</v>
      </c>
    </row>
    <row r="277" spans="1:3" x14ac:dyDescent="0.35">
      <c r="A277" t="s">
        <v>28</v>
      </c>
      <c r="B277" t="s">
        <v>303</v>
      </c>
      <c r="C277">
        <v>4</v>
      </c>
    </row>
    <row r="278" spans="1:3" x14ac:dyDescent="0.35">
      <c r="A278" t="s">
        <v>20</v>
      </c>
      <c r="B278" t="s">
        <v>304</v>
      </c>
      <c r="C278">
        <v>4</v>
      </c>
    </row>
    <row r="279" spans="1:3" x14ac:dyDescent="0.35">
      <c r="A279" t="s">
        <v>20</v>
      </c>
      <c r="B279" t="s">
        <v>305</v>
      </c>
      <c r="C279">
        <v>4</v>
      </c>
    </row>
    <row r="280" spans="1:3" x14ac:dyDescent="0.35">
      <c r="A280" t="s">
        <v>20</v>
      </c>
      <c r="B280" t="s">
        <v>306</v>
      </c>
      <c r="C280">
        <v>4</v>
      </c>
    </row>
    <row r="281" spans="1:3" x14ac:dyDescent="0.35">
      <c r="A281" t="s">
        <v>20</v>
      </c>
      <c r="B281" t="s">
        <v>307</v>
      </c>
      <c r="C281">
        <v>4</v>
      </c>
    </row>
    <row r="282" spans="1:3" x14ac:dyDescent="0.35">
      <c r="A282" t="s">
        <v>20</v>
      </c>
      <c r="B282" t="s">
        <v>308</v>
      </c>
      <c r="C282">
        <v>4</v>
      </c>
    </row>
    <row r="283" spans="1:3" x14ac:dyDescent="0.35">
      <c r="A283" t="s">
        <v>20</v>
      </c>
      <c r="B283" t="s">
        <v>309</v>
      </c>
      <c r="C283">
        <v>4</v>
      </c>
    </row>
    <row r="284" spans="1:3" x14ac:dyDescent="0.35">
      <c r="A284" t="s">
        <v>28</v>
      </c>
      <c r="B284" t="s">
        <v>310</v>
      </c>
      <c r="C284">
        <v>4</v>
      </c>
    </row>
    <row r="285" spans="1:3" x14ac:dyDescent="0.35">
      <c r="A285" t="s">
        <v>28</v>
      </c>
      <c r="B285" t="s">
        <v>311</v>
      </c>
      <c r="C285">
        <v>4</v>
      </c>
    </row>
    <row r="286" spans="1:3" x14ac:dyDescent="0.35">
      <c r="A286" t="s">
        <v>20</v>
      </c>
      <c r="B286" t="s">
        <v>312</v>
      </c>
      <c r="C286">
        <v>4</v>
      </c>
    </row>
    <row r="287" spans="1:3" x14ac:dyDescent="0.35">
      <c r="A287" t="s">
        <v>20</v>
      </c>
      <c r="B287" t="s">
        <v>313</v>
      </c>
      <c r="C287">
        <v>4</v>
      </c>
    </row>
    <row r="288" spans="1:3" x14ac:dyDescent="0.35">
      <c r="A288" t="s">
        <v>20</v>
      </c>
      <c r="B288" t="s">
        <v>314</v>
      </c>
      <c r="C288">
        <v>4</v>
      </c>
    </row>
    <row r="289" spans="1:3" x14ac:dyDescent="0.35">
      <c r="A289" t="s">
        <v>93</v>
      </c>
      <c r="B289" t="s">
        <v>315</v>
      </c>
      <c r="C289">
        <v>3.97</v>
      </c>
    </row>
    <row r="290" spans="1:3" x14ac:dyDescent="0.35">
      <c r="A290" t="s">
        <v>20</v>
      </c>
      <c r="B290" t="s">
        <v>316</v>
      </c>
      <c r="C290">
        <v>3.93</v>
      </c>
    </row>
    <row r="291" spans="1:3" x14ac:dyDescent="0.35">
      <c r="A291" t="s">
        <v>20</v>
      </c>
      <c r="B291" t="s">
        <v>317</v>
      </c>
      <c r="C291">
        <v>3.9</v>
      </c>
    </row>
    <row r="292" spans="1:3" x14ac:dyDescent="0.35">
      <c r="A292" t="s">
        <v>93</v>
      </c>
      <c r="B292" t="s">
        <v>318</v>
      </c>
      <c r="C292">
        <v>3.87</v>
      </c>
    </row>
    <row r="293" spans="1:3" x14ac:dyDescent="0.35">
      <c r="A293" t="s">
        <v>82</v>
      </c>
      <c r="B293" t="s">
        <v>319</v>
      </c>
      <c r="C293">
        <v>3.87</v>
      </c>
    </row>
    <row r="294" spans="1:3" x14ac:dyDescent="0.35">
      <c r="A294" t="s">
        <v>135</v>
      </c>
      <c r="B294" t="s">
        <v>320</v>
      </c>
      <c r="C294">
        <v>3.86</v>
      </c>
    </row>
    <row r="295" spans="1:3" x14ac:dyDescent="0.35">
      <c r="A295" t="s">
        <v>43</v>
      </c>
      <c r="B295" t="s">
        <v>321</v>
      </c>
      <c r="C295">
        <v>3.85</v>
      </c>
    </row>
    <row r="296" spans="1:3" x14ac:dyDescent="0.35">
      <c r="A296" t="s">
        <v>43</v>
      </c>
      <c r="B296" t="s">
        <v>322</v>
      </c>
      <c r="C296">
        <v>3.84</v>
      </c>
    </row>
    <row r="297" spans="1:3" x14ac:dyDescent="0.35">
      <c r="A297" t="s">
        <v>28</v>
      </c>
      <c r="B297" t="s">
        <v>323</v>
      </c>
      <c r="C297">
        <v>3.83</v>
      </c>
    </row>
    <row r="298" spans="1:3" x14ac:dyDescent="0.35">
      <c r="A298" t="s">
        <v>82</v>
      </c>
      <c r="B298" t="s">
        <v>324</v>
      </c>
      <c r="C298">
        <v>3.8</v>
      </c>
    </row>
    <row r="299" spans="1:3" x14ac:dyDescent="0.35">
      <c r="A299" t="s">
        <v>20</v>
      </c>
      <c r="B299" t="s">
        <v>325</v>
      </c>
      <c r="C299">
        <v>3.8</v>
      </c>
    </row>
    <row r="300" spans="1:3" x14ac:dyDescent="0.35">
      <c r="A300" t="s">
        <v>20</v>
      </c>
      <c r="B300" t="s">
        <v>326</v>
      </c>
      <c r="C300">
        <v>3.76</v>
      </c>
    </row>
    <row r="301" spans="1:3" x14ac:dyDescent="0.35">
      <c r="A301" t="s">
        <v>28</v>
      </c>
      <c r="B301" t="s">
        <v>327</v>
      </c>
      <c r="C301">
        <v>3.75</v>
      </c>
    </row>
    <row r="302" spans="1:3" x14ac:dyDescent="0.35">
      <c r="A302" t="s">
        <v>20</v>
      </c>
      <c r="B302" t="s">
        <v>328</v>
      </c>
      <c r="C302">
        <v>3.75</v>
      </c>
    </row>
    <row r="303" spans="1:3" x14ac:dyDescent="0.35">
      <c r="A303" t="s">
        <v>82</v>
      </c>
      <c r="B303" t="s">
        <v>329</v>
      </c>
      <c r="C303">
        <v>3.74</v>
      </c>
    </row>
    <row r="304" spans="1:3" x14ac:dyDescent="0.35">
      <c r="A304" t="s">
        <v>82</v>
      </c>
      <c r="B304" t="s">
        <v>330</v>
      </c>
      <c r="C304">
        <v>3.73</v>
      </c>
    </row>
    <row r="305" spans="1:3" x14ac:dyDescent="0.35">
      <c r="A305" t="s">
        <v>82</v>
      </c>
      <c r="B305" t="s">
        <v>331</v>
      </c>
      <c r="C305">
        <v>3.73</v>
      </c>
    </row>
    <row r="306" spans="1:3" x14ac:dyDescent="0.35">
      <c r="A306" t="s">
        <v>20</v>
      </c>
      <c r="B306" t="s">
        <v>332</v>
      </c>
      <c r="C306">
        <v>3.71</v>
      </c>
    </row>
    <row r="307" spans="1:3" x14ac:dyDescent="0.35">
      <c r="A307" t="s">
        <v>43</v>
      </c>
      <c r="B307" t="s">
        <v>333</v>
      </c>
      <c r="C307">
        <v>3.7</v>
      </c>
    </row>
    <row r="308" spans="1:3" x14ac:dyDescent="0.35">
      <c r="A308" t="s">
        <v>25</v>
      </c>
      <c r="B308" t="s">
        <v>334</v>
      </c>
      <c r="C308">
        <v>3.69</v>
      </c>
    </row>
    <row r="309" spans="1:3" x14ac:dyDescent="0.35">
      <c r="A309" t="s">
        <v>28</v>
      </c>
      <c r="B309" t="s">
        <v>335</v>
      </c>
      <c r="C309">
        <v>3.68</v>
      </c>
    </row>
    <row r="310" spans="1:3" x14ac:dyDescent="0.35">
      <c r="A310" t="s">
        <v>25</v>
      </c>
      <c r="B310" t="s">
        <v>336</v>
      </c>
      <c r="C310">
        <v>3.67</v>
      </c>
    </row>
    <row r="311" spans="1:3" x14ac:dyDescent="0.35">
      <c r="A311" t="s">
        <v>20</v>
      </c>
      <c r="B311" t="s">
        <v>337</v>
      </c>
      <c r="C311">
        <v>3.67</v>
      </c>
    </row>
    <row r="312" spans="1:3" x14ac:dyDescent="0.35">
      <c r="A312" t="s">
        <v>28</v>
      </c>
      <c r="B312" t="s">
        <v>338</v>
      </c>
      <c r="C312">
        <v>3.61</v>
      </c>
    </row>
    <row r="313" spans="1:3" x14ac:dyDescent="0.35">
      <c r="A313" t="s">
        <v>20</v>
      </c>
      <c r="B313" t="s">
        <v>339</v>
      </c>
      <c r="C313">
        <v>3.6</v>
      </c>
    </row>
    <row r="314" spans="1:3" x14ac:dyDescent="0.35">
      <c r="A314" t="s">
        <v>20</v>
      </c>
      <c r="B314" t="s">
        <v>340</v>
      </c>
      <c r="C314">
        <v>3.6</v>
      </c>
    </row>
    <row r="315" spans="1:3" x14ac:dyDescent="0.35">
      <c r="A315" t="s">
        <v>93</v>
      </c>
      <c r="B315" t="s">
        <v>341</v>
      </c>
      <c r="C315">
        <v>3.6</v>
      </c>
    </row>
    <row r="316" spans="1:3" x14ac:dyDescent="0.35">
      <c r="A316" t="s">
        <v>135</v>
      </c>
      <c r="B316" t="s">
        <v>342</v>
      </c>
      <c r="C316">
        <v>3.6</v>
      </c>
    </row>
    <row r="317" spans="1:3" x14ac:dyDescent="0.35">
      <c r="A317" t="s">
        <v>20</v>
      </c>
      <c r="B317" t="s">
        <v>343</v>
      </c>
      <c r="C317">
        <v>3.59</v>
      </c>
    </row>
    <row r="318" spans="1:3" x14ac:dyDescent="0.35">
      <c r="A318" t="s">
        <v>82</v>
      </c>
      <c r="B318" t="s">
        <v>344</v>
      </c>
      <c r="C318">
        <v>3.59</v>
      </c>
    </row>
    <row r="319" spans="1:3" x14ac:dyDescent="0.35">
      <c r="A319" t="s">
        <v>20</v>
      </c>
      <c r="B319" t="s">
        <v>345</v>
      </c>
      <c r="C319">
        <v>3.58</v>
      </c>
    </row>
    <row r="320" spans="1:3" x14ac:dyDescent="0.35">
      <c r="A320" t="s">
        <v>20</v>
      </c>
      <c r="B320" t="s">
        <v>346</v>
      </c>
      <c r="C320">
        <v>3.56</v>
      </c>
    </row>
    <row r="321" spans="1:3" x14ac:dyDescent="0.35">
      <c r="A321" t="s">
        <v>20</v>
      </c>
      <c r="B321" t="s">
        <v>347</v>
      </c>
      <c r="C321">
        <v>3.55</v>
      </c>
    </row>
    <row r="322" spans="1:3" x14ac:dyDescent="0.35">
      <c r="A322" t="s">
        <v>20</v>
      </c>
      <c r="B322" t="s">
        <v>348</v>
      </c>
      <c r="C322">
        <v>3.5</v>
      </c>
    </row>
    <row r="323" spans="1:3" x14ac:dyDescent="0.35">
      <c r="A323" t="s">
        <v>28</v>
      </c>
      <c r="B323" t="s">
        <v>349</v>
      </c>
      <c r="C323">
        <v>3.5</v>
      </c>
    </row>
    <row r="324" spans="1:3" x14ac:dyDescent="0.35">
      <c r="A324" t="s">
        <v>20</v>
      </c>
      <c r="B324" t="s">
        <v>350</v>
      </c>
      <c r="C324">
        <v>3.5</v>
      </c>
    </row>
    <row r="325" spans="1:3" x14ac:dyDescent="0.35">
      <c r="A325" t="s">
        <v>25</v>
      </c>
      <c r="B325" t="s">
        <v>351</v>
      </c>
      <c r="C325">
        <v>3.5</v>
      </c>
    </row>
    <row r="326" spans="1:3" x14ac:dyDescent="0.35">
      <c r="A326" t="s">
        <v>82</v>
      </c>
      <c r="B326" t="s">
        <v>352</v>
      </c>
      <c r="C326">
        <v>3.47</v>
      </c>
    </row>
    <row r="327" spans="1:3" x14ac:dyDescent="0.35">
      <c r="A327" t="s">
        <v>20</v>
      </c>
      <c r="B327" t="s">
        <v>353</v>
      </c>
      <c r="C327">
        <v>3.46</v>
      </c>
    </row>
    <row r="328" spans="1:3" x14ac:dyDescent="0.35">
      <c r="A328" t="s">
        <v>82</v>
      </c>
      <c r="B328" t="s">
        <v>354</v>
      </c>
      <c r="C328">
        <v>3.45</v>
      </c>
    </row>
    <row r="329" spans="1:3" x14ac:dyDescent="0.35">
      <c r="A329" t="s">
        <v>28</v>
      </c>
      <c r="B329" t="s">
        <v>355</v>
      </c>
      <c r="C329">
        <v>3.4</v>
      </c>
    </row>
    <row r="330" spans="1:3" x14ac:dyDescent="0.35">
      <c r="A330" t="s">
        <v>20</v>
      </c>
      <c r="B330" t="s">
        <v>356</v>
      </c>
      <c r="C330">
        <v>3.4</v>
      </c>
    </row>
    <row r="331" spans="1:3" x14ac:dyDescent="0.35">
      <c r="A331" t="s">
        <v>28</v>
      </c>
      <c r="B331" t="s">
        <v>357</v>
      </c>
      <c r="C331">
        <v>3.4</v>
      </c>
    </row>
    <row r="332" spans="1:3" x14ac:dyDescent="0.35">
      <c r="A332" t="s">
        <v>28</v>
      </c>
      <c r="B332" t="s">
        <v>358</v>
      </c>
      <c r="C332">
        <v>3.38</v>
      </c>
    </row>
    <row r="333" spans="1:3" x14ac:dyDescent="0.35">
      <c r="A333" t="s">
        <v>20</v>
      </c>
      <c r="B333" t="s">
        <v>359</v>
      </c>
      <c r="C333">
        <v>3.3</v>
      </c>
    </row>
    <row r="334" spans="1:3" x14ac:dyDescent="0.35">
      <c r="A334" t="s">
        <v>20</v>
      </c>
      <c r="B334" t="s">
        <v>360</v>
      </c>
      <c r="C334">
        <v>3.25</v>
      </c>
    </row>
    <row r="335" spans="1:3" x14ac:dyDescent="0.35">
      <c r="A335" t="s">
        <v>20</v>
      </c>
      <c r="B335" t="s">
        <v>361</v>
      </c>
      <c r="C335">
        <v>3.2</v>
      </c>
    </row>
    <row r="336" spans="1:3" x14ac:dyDescent="0.35">
      <c r="A336" t="s">
        <v>28</v>
      </c>
      <c r="B336" t="s">
        <v>362</v>
      </c>
      <c r="C336">
        <v>3.2</v>
      </c>
    </row>
    <row r="337" spans="1:3" x14ac:dyDescent="0.35">
      <c r="A337" t="s">
        <v>93</v>
      </c>
      <c r="B337" t="s">
        <v>363</v>
      </c>
      <c r="C337">
        <v>3.17</v>
      </c>
    </row>
    <row r="338" spans="1:3" x14ac:dyDescent="0.35">
      <c r="A338" t="s">
        <v>20</v>
      </c>
      <c r="B338" t="s">
        <v>364</v>
      </c>
      <c r="C338">
        <v>3.17</v>
      </c>
    </row>
    <row r="339" spans="1:3" x14ac:dyDescent="0.35">
      <c r="A339" t="s">
        <v>28</v>
      </c>
      <c r="B339" t="s">
        <v>365</v>
      </c>
      <c r="C339">
        <v>3.14</v>
      </c>
    </row>
    <row r="340" spans="1:3" x14ac:dyDescent="0.35">
      <c r="A340" t="s">
        <v>20</v>
      </c>
      <c r="B340" t="s">
        <v>366</v>
      </c>
      <c r="C340">
        <v>3.12</v>
      </c>
    </row>
    <row r="341" spans="1:3" x14ac:dyDescent="0.35">
      <c r="A341" t="s">
        <v>20</v>
      </c>
      <c r="B341" t="s">
        <v>367</v>
      </c>
      <c r="C341">
        <v>3</v>
      </c>
    </row>
    <row r="342" spans="1:3" x14ac:dyDescent="0.35">
      <c r="A342" t="s">
        <v>20</v>
      </c>
      <c r="B342" t="s">
        <v>368</v>
      </c>
      <c r="C342">
        <v>3</v>
      </c>
    </row>
    <row r="343" spans="1:3" x14ac:dyDescent="0.35">
      <c r="A343" t="s">
        <v>28</v>
      </c>
      <c r="B343" t="s">
        <v>369</v>
      </c>
      <c r="C343">
        <v>3</v>
      </c>
    </row>
    <row r="344" spans="1:3" x14ac:dyDescent="0.35">
      <c r="A344" t="s">
        <v>20</v>
      </c>
      <c r="B344" t="s">
        <v>370</v>
      </c>
      <c r="C344">
        <v>3</v>
      </c>
    </row>
    <row r="345" spans="1:3" x14ac:dyDescent="0.35">
      <c r="A345" t="s">
        <v>28</v>
      </c>
      <c r="B345" t="s">
        <v>371</v>
      </c>
      <c r="C345">
        <v>3</v>
      </c>
    </row>
    <row r="346" spans="1:3" x14ac:dyDescent="0.35">
      <c r="A346" t="s">
        <v>20</v>
      </c>
      <c r="B346" t="s">
        <v>372</v>
      </c>
      <c r="C346">
        <v>3</v>
      </c>
    </row>
    <row r="347" spans="1:3" x14ac:dyDescent="0.35">
      <c r="A347" t="s">
        <v>20</v>
      </c>
      <c r="B347" t="s">
        <v>373</v>
      </c>
      <c r="C347">
        <v>3</v>
      </c>
    </row>
    <row r="348" spans="1:3" x14ac:dyDescent="0.35">
      <c r="A348" t="s">
        <v>20</v>
      </c>
      <c r="B348" t="s">
        <v>374</v>
      </c>
      <c r="C348">
        <v>3</v>
      </c>
    </row>
    <row r="349" spans="1:3" x14ac:dyDescent="0.35">
      <c r="A349" t="s">
        <v>20</v>
      </c>
      <c r="B349" t="s">
        <v>375</v>
      </c>
      <c r="C349">
        <v>3</v>
      </c>
    </row>
    <row r="350" spans="1:3" x14ac:dyDescent="0.35">
      <c r="A350" t="s">
        <v>20</v>
      </c>
      <c r="B350" t="s">
        <v>376</v>
      </c>
      <c r="C350">
        <v>3</v>
      </c>
    </row>
    <row r="351" spans="1:3" x14ac:dyDescent="0.35">
      <c r="A351" t="s">
        <v>20</v>
      </c>
      <c r="B351" t="s">
        <v>377</v>
      </c>
      <c r="C351">
        <v>3</v>
      </c>
    </row>
    <row r="352" spans="1:3" x14ac:dyDescent="0.35">
      <c r="A352" t="s">
        <v>20</v>
      </c>
      <c r="B352" t="s">
        <v>378</v>
      </c>
      <c r="C352">
        <v>3</v>
      </c>
    </row>
    <row r="353" spans="1:3" x14ac:dyDescent="0.35">
      <c r="A353" t="s">
        <v>20</v>
      </c>
      <c r="B353" t="s">
        <v>379</v>
      </c>
      <c r="C353">
        <v>3</v>
      </c>
    </row>
    <row r="354" spans="1:3" x14ac:dyDescent="0.35">
      <c r="A354" t="s">
        <v>20</v>
      </c>
      <c r="B354" t="s">
        <v>380</v>
      </c>
      <c r="C354">
        <v>3</v>
      </c>
    </row>
    <row r="355" spans="1:3" x14ac:dyDescent="0.35">
      <c r="A355" t="s">
        <v>20</v>
      </c>
      <c r="B355" t="s">
        <v>381</v>
      </c>
      <c r="C355">
        <v>3</v>
      </c>
    </row>
    <row r="356" spans="1:3" x14ac:dyDescent="0.35">
      <c r="A356" t="s">
        <v>20</v>
      </c>
      <c r="B356" t="s">
        <v>382</v>
      </c>
      <c r="C356">
        <v>3</v>
      </c>
    </row>
    <row r="357" spans="1:3" x14ac:dyDescent="0.35">
      <c r="A357" t="s">
        <v>20</v>
      </c>
      <c r="B357" t="s">
        <v>383</v>
      </c>
      <c r="C357">
        <v>3</v>
      </c>
    </row>
    <row r="358" spans="1:3" x14ac:dyDescent="0.35">
      <c r="A358" t="s">
        <v>20</v>
      </c>
      <c r="B358" t="s">
        <v>384</v>
      </c>
      <c r="C358">
        <v>3</v>
      </c>
    </row>
    <row r="359" spans="1:3" x14ac:dyDescent="0.35">
      <c r="A359" t="s">
        <v>20</v>
      </c>
      <c r="B359" t="s">
        <v>385</v>
      </c>
      <c r="C359">
        <v>3</v>
      </c>
    </row>
    <row r="360" spans="1:3" x14ac:dyDescent="0.35">
      <c r="A360" t="s">
        <v>20</v>
      </c>
      <c r="B360" t="s">
        <v>386</v>
      </c>
      <c r="C360">
        <v>3</v>
      </c>
    </row>
    <row r="361" spans="1:3" x14ac:dyDescent="0.35">
      <c r="A361" t="s">
        <v>20</v>
      </c>
      <c r="B361" t="s">
        <v>387</v>
      </c>
      <c r="C361">
        <v>2.94</v>
      </c>
    </row>
    <row r="362" spans="1:3" x14ac:dyDescent="0.35">
      <c r="A362" t="s">
        <v>20</v>
      </c>
      <c r="B362" t="s">
        <v>388</v>
      </c>
      <c r="C362">
        <v>2.71</v>
      </c>
    </row>
    <row r="363" spans="1:3" x14ac:dyDescent="0.35">
      <c r="A363" t="s">
        <v>28</v>
      </c>
      <c r="B363" t="s">
        <v>389</v>
      </c>
      <c r="C363">
        <v>2.5</v>
      </c>
    </row>
    <row r="364" spans="1:3" x14ac:dyDescent="0.35">
      <c r="A364" t="s">
        <v>28</v>
      </c>
      <c r="B364" t="s">
        <v>390</v>
      </c>
      <c r="C364">
        <v>2.5</v>
      </c>
    </row>
    <row r="365" spans="1:3" x14ac:dyDescent="0.35">
      <c r="A365" t="s">
        <v>20</v>
      </c>
      <c r="B365" t="s">
        <v>391</v>
      </c>
      <c r="C365">
        <v>2.33</v>
      </c>
    </row>
    <row r="366" spans="1:3" x14ac:dyDescent="0.35">
      <c r="A366" t="s">
        <v>20</v>
      </c>
      <c r="B366" t="s">
        <v>392</v>
      </c>
      <c r="C366">
        <v>2.33</v>
      </c>
    </row>
    <row r="367" spans="1:3" x14ac:dyDescent="0.35">
      <c r="A367" t="s">
        <v>20</v>
      </c>
      <c r="B367" t="s">
        <v>393</v>
      </c>
      <c r="C367">
        <v>2.25</v>
      </c>
    </row>
    <row r="368" spans="1:3" x14ac:dyDescent="0.35">
      <c r="A368" t="s">
        <v>20</v>
      </c>
      <c r="B368" t="s">
        <v>394</v>
      </c>
      <c r="C368">
        <v>2</v>
      </c>
    </row>
    <row r="369" spans="1:3" x14ac:dyDescent="0.35">
      <c r="A369" t="s">
        <v>28</v>
      </c>
      <c r="B369" t="s">
        <v>395</v>
      </c>
      <c r="C369">
        <v>2</v>
      </c>
    </row>
    <row r="370" spans="1:3" x14ac:dyDescent="0.35">
      <c r="A370" t="s">
        <v>25</v>
      </c>
      <c r="B370" t="s">
        <v>396</v>
      </c>
      <c r="C370">
        <v>2</v>
      </c>
    </row>
    <row r="371" spans="1:3" x14ac:dyDescent="0.35">
      <c r="A371" t="s">
        <v>28</v>
      </c>
      <c r="B371" t="s">
        <v>397</v>
      </c>
      <c r="C371">
        <v>2</v>
      </c>
    </row>
    <row r="372" spans="1:3" x14ac:dyDescent="0.35">
      <c r="A372" t="s">
        <v>28</v>
      </c>
      <c r="B372" t="s">
        <v>398</v>
      </c>
      <c r="C372">
        <v>2</v>
      </c>
    </row>
    <row r="373" spans="1:3" x14ac:dyDescent="0.35">
      <c r="A373" t="s">
        <v>28</v>
      </c>
      <c r="B373" t="s">
        <v>399</v>
      </c>
      <c r="C373">
        <v>2</v>
      </c>
    </row>
    <row r="374" spans="1:3" x14ac:dyDescent="0.35">
      <c r="A374" t="s">
        <v>28</v>
      </c>
      <c r="B374" t="s">
        <v>400</v>
      </c>
      <c r="C374">
        <v>2</v>
      </c>
    </row>
    <row r="375" spans="1:3" x14ac:dyDescent="0.35">
      <c r="A375" t="s">
        <v>20</v>
      </c>
      <c r="B375" t="s">
        <v>401</v>
      </c>
      <c r="C375">
        <v>2</v>
      </c>
    </row>
    <row r="376" spans="1:3" x14ac:dyDescent="0.35">
      <c r="A376" t="s">
        <v>28</v>
      </c>
      <c r="B376" t="s">
        <v>402</v>
      </c>
      <c r="C376">
        <v>2</v>
      </c>
    </row>
    <row r="377" spans="1:3" x14ac:dyDescent="0.35">
      <c r="A377" t="s">
        <v>20</v>
      </c>
      <c r="B377" t="s">
        <v>403</v>
      </c>
      <c r="C377">
        <v>2</v>
      </c>
    </row>
    <row r="378" spans="1:3" x14ac:dyDescent="0.35">
      <c r="A378" t="s">
        <v>20</v>
      </c>
      <c r="B378" t="s">
        <v>404</v>
      </c>
      <c r="C378">
        <v>2</v>
      </c>
    </row>
    <row r="379" spans="1:3" x14ac:dyDescent="0.35">
      <c r="A379" t="s">
        <v>20</v>
      </c>
      <c r="B379" t="s">
        <v>405</v>
      </c>
      <c r="C379">
        <v>2</v>
      </c>
    </row>
    <row r="380" spans="1:3" x14ac:dyDescent="0.35">
      <c r="A380" t="s">
        <v>135</v>
      </c>
      <c r="B380" t="s">
        <v>406</v>
      </c>
      <c r="C380">
        <v>1.67</v>
      </c>
    </row>
    <row r="381" spans="1:3" x14ac:dyDescent="0.35">
      <c r="A381" t="s">
        <v>20</v>
      </c>
      <c r="B381" t="s">
        <v>407</v>
      </c>
      <c r="C381">
        <v>1.67</v>
      </c>
    </row>
    <row r="382" spans="1:3" x14ac:dyDescent="0.35">
      <c r="A382" t="s">
        <v>20</v>
      </c>
      <c r="B382" t="s">
        <v>408</v>
      </c>
      <c r="C382">
        <v>1</v>
      </c>
    </row>
    <row r="383" spans="1:3" x14ac:dyDescent="0.35">
      <c r="A383" t="s">
        <v>20</v>
      </c>
      <c r="B383" t="s">
        <v>409</v>
      </c>
      <c r="C383">
        <v>1</v>
      </c>
    </row>
    <row r="384" spans="1:3" x14ac:dyDescent="0.35">
      <c r="A384" t="s">
        <v>20</v>
      </c>
      <c r="B384" t="s">
        <v>410</v>
      </c>
      <c r="C384">
        <v>1</v>
      </c>
    </row>
    <row r="385" spans="1:3" x14ac:dyDescent="0.35">
      <c r="A385" t="s">
        <v>20</v>
      </c>
      <c r="B385" t="s">
        <v>411</v>
      </c>
      <c r="C385">
        <v>1</v>
      </c>
    </row>
    <row r="386" spans="1:3" x14ac:dyDescent="0.35">
      <c r="A386" t="s">
        <v>20</v>
      </c>
      <c r="B386" t="s">
        <v>412</v>
      </c>
      <c r="C38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C6" sqref="C6"/>
    </sheetView>
  </sheetViews>
  <sheetFormatPr defaultRowHeight="14.5" x14ac:dyDescent="0.35"/>
  <sheetData>
    <row r="1" spans="1:2" x14ac:dyDescent="0.35">
      <c r="A1" s="1" t="s">
        <v>413</v>
      </c>
      <c r="B1" s="1" t="s">
        <v>9</v>
      </c>
    </row>
    <row r="2" spans="1:2" x14ac:dyDescent="0.35">
      <c r="A2">
        <v>1</v>
      </c>
      <c r="B2">
        <v>4.51</v>
      </c>
    </row>
    <row r="3" spans="1:2" x14ac:dyDescent="0.35">
      <c r="A3">
        <v>2</v>
      </c>
      <c r="B3">
        <v>4.57</v>
      </c>
    </row>
    <row r="4" spans="1:2" x14ac:dyDescent="0.35">
      <c r="A4">
        <v>3</v>
      </c>
      <c r="B4">
        <v>4.55</v>
      </c>
    </row>
    <row r="5" spans="1:2" x14ac:dyDescent="0.35">
      <c r="A5">
        <v>4</v>
      </c>
      <c r="B5">
        <v>4.49</v>
      </c>
    </row>
    <row r="6" spans="1:2" x14ac:dyDescent="0.35">
      <c r="A6">
        <v>5</v>
      </c>
      <c r="B6">
        <v>4.45</v>
      </c>
    </row>
    <row r="7" spans="1:2" x14ac:dyDescent="0.35">
      <c r="A7">
        <v>6</v>
      </c>
      <c r="B7">
        <v>4.5</v>
      </c>
    </row>
    <row r="8" spans="1:2" x14ac:dyDescent="0.35">
      <c r="A8">
        <v>7</v>
      </c>
      <c r="B8">
        <v>4.51</v>
      </c>
    </row>
    <row r="9" spans="1:2" x14ac:dyDescent="0.35">
      <c r="A9">
        <v>8</v>
      </c>
      <c r="B9">
        <v>4.57</v>
      </c>
    </row>
    <row r="10" spans="1:2" x14ac:dyDescent="0.35">
      <c r="A10">
        <v>9</v>
      </c>
      <c r="B10">
        <v>4.62</v>
      </c>
    </row>
    <row r="11" spans="1:2" x14ac:dyDescent="0.35">
      <c r="A11">
        <v>10</v>
      </c>
      <c r="B11">
        <v>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Executive_Summary</vt:lpstr>
      <vt:lpstr>KPI_Summary</vt:lpstr>
      <vt:lpstr>Category_Performance</vt:lpstr>
      <vt:lpstr>Geographic_Delays</vt:lpstr>
      <vt:lpstr>Quantity_Impact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Jester Teston</cp:lastModifiedBy>
  <dcterms:created xsi:type="dcterms:W3CDTF">2026-07-12T14:29:30Z</dcterms:created>
  <dcterms:modified xsi:type="dcterms:W3CDTF">2026-07-13T03:28:48Z</dcterms:modified>
</cp:coreProperties>
</file>